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DONNEES_APPELS_N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<sst xmlns="http://schemas.openxmlformats.org/spreadsheetml/2006/main" count="20" uniqueCount="20">
  <si>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DATE</t>
  </si>
  <si>
    <t xml:space="preserve">Semaine épidémiologique</t>
  </si>
  <si>
    <t xml:space="preserve">TOTAL_APPELS_JOUR</t>
  </si>
  <si>
    <t xml:space="preserve">CSU_JOUR</t>
  </si>
  <si>
    <t xml:space="preserve">PHARMACIE_JOUR</t>
  </si>
  <si>
    <t xml:space="preserve">STRUCTURE_REFERENCE_JOUR</t>
  </si>
  <si>
    <t xml:space="preserve">PROGRAMME_SANTE_JOUR</t>
  </si>
  <si>
    <t xml:space="preserve">RUMEURS_JOUR</t>
  </si>
  <si>
    <t xml:space="preserve">PROBLEMATIQUE_SANTE_JOUR</t>
  </si>
  <si>
    <t xml:space="preserve">URGENCE_MEDICALE_JOUR</t>
  </si>
  <si>
    <t xml:space="preserve">GESTION_MALADIE_JOUR</t>
  </si>
  <si>
    <t xml:space="preserve">AUTRES_JOUR</t>
  </si>
  <si>
    <t xml:space="preserve">SOCIAL_JOUR</t>
  </si>
  <si>
    <t xml:space="preserve">SECURITAIRE_JOUR</t>
  </si>
  <si>
    <t xml:space="preserve">PSYCHO_JOUR</t>
  </si>
  <si>
    <t xml:space="preserve">SIGNAUX_SFE_JOUR</t>
  </si>
  <si>
    <t xml:space="preserve">AUTRES_SANTE_PUBLIQUE_JOUR</t>
  </si>
  <si>
    <t xml:space="preserve">CAS_SUSPECTS_JOUR</t>
  </si>
  <si>
    <t xml:space="preserve">FARCES_JOUR</t>
  </si>
  <si>
    <t xml:space="preserve">HARCELEMENTS_JOUR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</si>
</sst>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1"/>
  <sheetViews>
    <sheetView showFormulas="false" showGridLines="true" showRowColHeaders="true" showZeros="true" rightToLeft="false" tabSelected="true" showOutlineSymbols="true" defaultGridColor="true" view="normal" topLeftCell="A282" colorId="64" zoomScale="100" zoomScaleNormal="100" zoomScalePageLayoutView="100" workbookViewId="0">
      <selection pane="topLeft" activeCell="A289" activeCellId="0" sqref="A289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10.63"/>
    <col collapsed="false" customWidth="true" hidden="false" outlineLevel="0" max="2" min="2" style="1" width="22.54"/>
    <col collapsed="false" customWidth="true" hidden="false" outlineLevel="0" max="3" min="3" style="2" width="19.18"/>
    <col collapsed="false" customWidth="true" hidden="false" outlineLevel="0" max="4" min="4" style="1" width="11.09"/>
    <col collapsed="false" customWidth="true" hidden="false" outlineLevel="0" max="5" min="5" style="1" width="17.18"/>
    <col collapsed="false" customWidth="true" hidden="false" outlineLevel="0" max="6" min="6" style="1" width="27.45"/>
    <col collapsed="false" customWidth="true" hidden="false" outlineLevel="0" max="7" min="7" style="1" width="24.73"/>
    <col collapsed="false" customWidth="true" hidden="false" outlineLevel="0" max="8" min="8" style="1" width="15"/>
    <col collapsed="false" customWidth="true" hidden="false" outlineLevel="0" max="9" min="9" style="1" width="27.73"/>
    <col collapsed="false" customWidth="true" hidden="false" outlineLevel="0" max="10" min="10" style="1" width="23.91"/>
    <col collapsed="false" customWidth="true" hidden="false" outlineLevel="0" max="11" min="11" style="1" width="22.54"/>
    <col collapsed="false" customWidth="true" hidden="false" outlineLevel="0" max="12" min="12" style="1" width="13.36"/>
    <col collapsed="false" customWidth="true" hidden="false" outlineLevel="0" max="13" min="13" style="1" width="12.45"/>
    <col collapsed="false" customWidth="true" hidden="false" outlineLevel="0" max="14" min="14" style="1" width="17.09"/>
    <col collapsed="false" customWidth="true" hidden="false" outlineLevel="0" max="15" min="15" style="1" width="13.36"/>
    <col collapsed="false" customWidth="true" hidden="false" outlineLevel="0" max="16" min="16" style="1" width="18"/>
    <col collapsed="false" customWidth="true" hidden="false" outlineLevel="0" max="17" min="17" style="1" width="28.45"/>
    <col collapsed="false" customWidth="true" hidden="false" outlineLevel="0" max="18" min="18" style="1" width="19.09"/>
    <col collapsed="false" customWidth="true" hidden="false" outlineLevel="0" max="19" min="19" style="1" width="12.91"/>
    <col collapsed="false" customWidth="true" hidden="false" outlineLevel="0" max="20" min="20" style="1" width="20.09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customFormat="false" ht="15" hidden="false" customHeight="false" outlineLevel="0" collapsed="false">
      <c r="A2" s="5" t="n">
        <v>45684</v>
      </c>
      <c r="B2" s="6" t="str">
        <f aca="false">CONCATENATE("S",_xlfn.ISOWEEKNUM(A2),"_",IF(AND(MONTH(A2)=12,_xlfn.ISOWEEKNUM(A2)=1),YEAR(A2)+1,IF(AND(MONTH(A2)=1,_xlfn.ISOWEEKNUM(A2)&gt;50),YEAR(A2)-1,YEAR(A2))))</f>
        <v>S5_2025</v>
      </c>
      <c r="C2" s="7" t="n">
        <f aca="false">E2+G2+I2+K2+M2+O2+O2+Q2+S2+U2+W2+Y2+AA2+AC2+AE2+AG2+AI2+AK2</f>
        <v>107</v>
      </c>
      <c r="D2" s="1" t="n">
        <v>0</v>
      </c>
      <c r="E2" s="1" t="n">
        <v>5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101</v>
      </c>
      <c r="T2" s="1" t="n">
        <v>0</v>
      </c>
    </row>
    <row r="3" customFormat="false" ht="15" hidden="false" customHeight="false" outlineLevel="0" collapsed="false">
      <c r="A3" s="6" t="n">
        <v>45685</v>
      </c>
      <c r="B3" s="6" t="str">
        <f aca="false">CONCATENATE("S",_xlfn.ISOWEEKNUM(A3),"_",IF(AND(MONTH(A3)=12,_xlfn.ISOWEEKNUM(A3)=1),YEAR(A3)+1,IF(AND(MONTH(A3)=1,_xlfn.ISOWEEKNUM(A3)&gt;50),YEAR(A3)-1,YEAR(A3))))</f>
        <v>S5_2025</v>
      </c>
      <c r="C3" s="7" t="n">
        <f aca="false">E3+G3+I3+K3+M3+O3+O3+Q3+S3+U3+W3+Y3+AA3+AC3+AE3+AG3+AI3+AK3</f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</row>
    <row r="4" customFormat="false" ht="15" hidden="false" customHeight="false" outlineLevel="0" collapsed="false">
      <c r="A4" s="6" t="n">
        <v>45686</v>
      </c>
      <c r="B4" s="6" t="str">
        <f aca="false">CONCATENATE("S",_xlfn.ISOWEEKNUM(A4),"_",IF(AND(MONTH(A4)=12,_xlfn.ISOWEEKNUM(A4)=1),YEAR(A4)+1,IF(AND(MONTH(A4)=1,_xlfn.ISOWEEKNUM(A4)&gt;50),YEAR(A4)-1,YEAR(A4))))</f>
        <v>S5_2025</v>
      </c>
      <c r="C4" s="7" t="n">
        <f aca="false">E4+G4+I4+K4+M4+O4+O4+Q4+S4+U4+W4+Y4+AA4+AC4+AE4+AG4+AI4+AK4</f>
        <v>125</v>
      </c>
      <c r="D4" s="1" t="n">
        <v>2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</v>
      </c>
      <c r="M4" s="1" t="n">
        <v>2</v>
      </c>
      <c r="N4" s="1" t="n">
        <v>0</v>
      </c>
      <c r="O4" s="1" t="n">
        <v>1</v>
      </c>
      <c r="P4" s="1" t="n">
        <v>0</v>
      </c>
      <c r="Q4" s="1" t="n">
        <v>0</v>
      </c>
      <c r="R4" s="1" t="n">
        <v>0</v>
      </c>
      <c r="S4" s="1" t="n">
        <v>121</v>
      </c>
      <c r="T4" s="1" t="n">
        <v>0</v>
      </c>
    </row>
    <row r="5" customFormat="false" ht="15" hidden="false" customHeight="false" outlineLevel="0" collapsed="false">
      <c r="A5" s="6" t="n">
        <v>45687</v>
      </c>
      <c r="B5" s="6" t="str">
        <f aca="false">CONCATENATE("S",_xlfn.ISOWEEKNUM(A5),"_",IF(AND(MONTH(A5)=12,_xlfn.ISOWEEKNUM(A5)=1),YEAR(A5)+1,IF(AND(MONTH(A5)=1,_xlfn.ISOWEEKNUM(A5)&gt;50),YEAR(A5)-1,YEAR(A5))))</f>
        <v>S5_2025</v>
      </c>
      <c r="C5" s="7" t="n">
        <f aca="false">E5+G5+I5+K5+M5+O5+O5+Q5+S5+U5+W5+Y5+AA5+AC5+AE5+AG5+AI5+AK5</f>
        <v>110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2</v>
      </c>
      <c r="L5" s="1" t="n">
        <v>2</v>
      </c>
      <c r="M5" s="1" t="n">
        <v>4</v>
      </c>
      <c r="N5" s="1" t="n">
        <v>0</v>
      </c>
      <c r="O5" s="1" t="n">
        <v>1</v>
      </c>
      <c r="P5" s="1" t="n">
        <v>0</v>
      </c>
      <c r="Q5" s="1" t="n">
        <v>0</v>
      </c>
      <c r="R5" s="1" t="n">
        <v>0</v>
      </c>
      <c r="S5" s="1" t="n">
        <v>102</v>
      </c>
      <c r="T5" s="1" t="n">
        <v>0</v>
      </c>
    </row>
    <row r="6" customFormat="false" ht="15" hidden="false" customHeight="false" outlineLevel="0" collapsed="false">
      <c r="A6" s="6" t="n">
        <v>45688</v>
      </c>
      <c r="B6" s="6" t="str">
        <f aca="false">CONCATENATE("S",_xlfn.ISOWEEKNUM(A6),"_",IF(AND(MONTH(A6)=12,_xlfn.ISOWEEKNUM(A6)=1),YEAR(A6)+1,IF(AND(MONTH(A6)=1,_xlfn.ISOWEEKNUM(A6)&gt;50),YEAR(A6)-1,YEAR(A6))))</f>
        <v>S5_2025</v>
      </c>
      <c r="C6" s="7" t="n">
        <f aca="false">E6+G6+I6+K6+M6+O6+O6+Q6+S6+U6+W6+Y6+AA6+AC6+AE6+AG6+AI6+AK6</f>
        <v>7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4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7</v>
      </c>
      <c r="T6" s="1" t="n">
        <v>0</v>
      </c>
    </row>
    <row r="7" customFormat="false" ht="15" hidden="false" customHeight="false" outlineLevel="0" collapsed="false">
      <c r="A7" s="6" t="n">
        <v>45689</v>
      </c>
      <c r="B7" s="6" t="str">
        <f aca="false">CONCATENATE("S",_xlfn.ISOWEEKNUM(A7),"_",IF(AND(MONTH(A7)=12,_xlfn.ISOWEEKNUM(A7)=1),YEAR(A7)+1,IF(AND(MONTH(A7)=1,_xlfn.ISOWEEKNUM(A7)&gt;50),YEAR(A7)-1,YEAR(A7))))</f>
        <v>S5_2025</v>
      </c>
      <c r="C7" s="7" t="n">
        <f aca="false">E7+G7+I7+K7+M7+O7+O7+Q7+S7+U7+W7+Y7+AA7+AC7+AE7+AG7+AI7+AK7</f>
        <v>140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1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139</v>
      </c>
      <c r="T7" s="1" t="n">
        <v>0</v>
      </c>
    </row>
    <row r="8" customFormat="false" ht="15" hidden="false" customHeight="false" outlineLevel="0" collapsed="false">
      <c r="A8" s="6" t="n">
        <v>45690</v>
      </c>
      <c r="B8" s="6" t="str">
        <f aca="false">CONCATENATE("S",_xlfn.ISOWEEKNUM(A8),"_",IF(AND(MONTH(A8)=12,_xlfn.ISOWEEKNUM(A8)=1),YEAR(A8)+1,IF(AND(MONTH(A8)=1,_xlfn.ISOWEEKNUM(A8)&gt;50),YEAR(A8)-1,YEAR(A8))))</f>
        <v>S5_2025</v>
      </c>
      <c r="C8" s="7" t="n">
        <f aca="false">E8+G8+I8+K8+M8+O8+O8+Q8+S8+U8+W8+Y8+AA8+AC8+AE8+AG8+AI8+AK8</f>
        <v>98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96</v>
      </c>
      <c r="T8" s="1" t="n">
        <v>19</v>
      </c>
    </row>
    <row r="9" customFormat="false" ht="15" hidden="false" customHeight="false" outlineLevel="0" collapsed="false">
      <c r="A9" s="6" t="n">
        <v>45691</v>
      </c>
      <c r="B9" s="6" t="str">
        <f aca="false">CONCATENATE("S",_xlfn.ISOWEEKNUM(A9),"_",IF(AND(MONTH(A9)=12,_xlfn.ISOWEEKNUM(A9)=1),YEAR(A9)+1,IF(AND(MONTH(A9)=1,_xlfn.ISOWEEKNUM(A9)&gt;50),YEAR(A9)-1,YEAR(A9))))</f>
        <v>S6_2025</v>
      </c>
      <c r="C9" s="7" t="n">
        <f aca="false">E9+G9+I9+K9+M9+O9+O9+Q9+S9+U9+W9+Y9+AA9+AC9+AE9+AG9+AI9+AK9</f>
        <v>61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61</v>
      </c>
      <c r="T9" s="1" t="n">
        <v>0</v>
      </c>
    </row>
    <row r="10" customFormat="false" ht="15" hidden="false" customHeight="false" outlineLevel="0" collapsed="false">
      <c r="A10" s="6" t="n">
        <v>45692</v>
      </c>
      <c r="B10" s="6" t="str">
        <f aca="false">CONCATENATE("S",_xlfn.ISOWEEKNUM(A10),"_",IF(AND(MONTH(A10)=12,_xlfn.ISOWEEKNUM(A10)=1),YEAR(A10)+1,IF(AND(MONTH(A10)=1,_xlfn.ISOWEEKNUM(A10)&gt;50),YEAR(A10)-1,YEAR(A10))))</f>
        <v>S6_2025</v>
      </c>
      <c r="C10" s="7" t="n">
        <f aca="false">E10+G10+I10+K10+M10+O10+O10+Q10+S10+U10+W10+Y10+AA10+AC10+AE10+AG10+AI10+AK10</f>
        <v>141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4</v>
      </c>
      <c r="J10" s="1" t="n">
        <v>0</v>
      </c>
      <c r="K10" s="1" t="n">
        <v>4</v>
      </c>
      <c r="L10" s="1" t="n">
        <v>1</v>
      </c>
      <c r="M10" s="1" t="n">
        <v>0</v>
      </c>
      <c r="N10" s="1" t="n">
        <v>0</v>
      </c>
      <c r="O10" s="1" t="n">
        <v>1</v>
      </c>
      <c r="P10" s="1" t="n">
        <v>0</v>
      </c>
      <c r="Q10" s="1" t="n">
        <v>0</v>
      </c>
      <c r="R10" s="1" t="n">
        <v>0</v>
      </c>
      <c r="S10" s="1" t="n">
        <v>131</v>
      </c>
      <c r="T10" s="1" t="n">
        <v>0</v>
      </c>
    </row>
    <row r="11" customFormat="false" ht="15" hidden="false" customHeight="false" outlineLevel="0" collapsed="false">
      <c r="A11" s="6" t="n">
        <v>45693</v>
      </c>
      <c r="B11" s="6" t="str">
        <f aca="false">CONCATENATE("S",_xlfn.ISOWEEKNUM(A11),"_",IF(AND(MONTH(A11)=12,_xlfn.ISOWEEKNUM(A11)=1),YEAR(A11)+1,IF(AND(MONTH(A11)=1,_xlfn.ISOWEEKNUM(A11)&gt;50),YEAR(A11)-1,YEAR(A11))))</f>
        <v>S6_2025</v>
      </c>
      <c r="C11" s="7" t="n">
        <f aca="false">E11+G11+I11+K11+M11+O11+O11+Q11+S11+U11+W11+Y11+AA11+AC11+AE11+AG11+AI11+AK11</f>
        <v>113</v>
      </c>
      <c r="D11" s="1" t="n">
        <v>10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11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102</v>
      </c>
      <c r="T11" s="1" t="n">
        <v>0</v>
      </c>
    </row>
    <row r="12" customFormat="false" ht="15" hidden="false" customHeight="false" outlineLevel="0" collapsed="false">
      <c r="A12" s="6" t="n">
        <v>45694</v>
      </c>
      <c r="B12" s="6" t="str">
        <f aca="false">CONCATENATE("S",_xlfn.ISOWEEKNUM(A12),"_",IF(AND(MONTH(A12)=12,_xlfn.ISOWEEKNUM(A12)=1),YEAR(A12)+1,IF(AND(MONTH(A12)=1,_xlfn.ISOWEEKNUM(A12)&gt;50),YEAR(A12)-1,YEAR(A12))))</f>
        <v>S6_2025</v>
      </c>
      <c r="C12" s="7" t="n">
        <f aca="false">E12+G12+I12+K12+M12+O12+O12+Q12+S12+U12+W12+Y12+AA12+AC12+AE12+AG12+AI12+AK12</f>
        <v>133</v>
      </c>
      <c r="D12" s="1" t="n">
        <v>0</v>
      </c>
      <c r="E12" s="1" t="n">
        <v>8</v>
      </c>
      <c r="F12" s="1" t="n">
        <v>1</v>
      </c>
      <c r="G12" s="1" t="n">
        <v>0</v>
      </c>
      <c r="H12" s="1" t="n">
        <v>1</v>
      </c>
      <c r="I12" s="1" t="n">
        <v>6</v>
      </c>
      <c r="J12" s="1" t="n">
        <v>4</v>
      </c>
      <c r="K12" s="1" t="n">
        <v>0</v>
      </c>
      <c r="L12" s="1" t="n">
        <v>0</v>
      </c>
      <c r="M12" s="1" t="n">
        <v>10</v>
      </c>
      <c r="N12" s="1" t="n">
        <v>3</v>
      </c>
      <c r="O12" s="1" t="n">
        <v>1</v>
      </c>
      <c r="P12" s="1" t="n">
        <v>0</v>
      </c>
      <c r="Q12" s="1" t="n">
        <v>1</v>
      </c>
      <c r="R12" s="1" t="n">
        <v>2</v>
      </c>
      <c r="S12" s="1" t="n">
        <v>106</v>
      </c>
      <c r="T12" s="1" t="n">
        <v>15</v>
      </c>
    </row>
    <row r="13" customFormat="false" ht="15" hidden="false" customHeight="false" outlineLevel="0" collapsed="false">
      <c r="A13" s="6" t="n">
        <v>45695</v>
      </c>
      <c r="B13" s="6" t="str">
        <f aca="false">CONCATENATE("S",_xlfn.ISOWEEKNUM(A13),"_",IF(AND(MONTH(A13)=12,_xlfn.ISOWEEKNUM(A13)=1),YEAR(A13)+1,IF(AND(MONTH(A13)=1,_xlfn.ISOWEEKNUM(A13)&gt;50),YEAR(A13)-1,YEAR(A13))))</f>
        <v>S6_2025</v>
      </c>
      <c r="C13" s="7" t="n">
        <f aca="false">E13+G13+I13+K13+M13+O13+O13+Q13+S13+U13+W13+Y13+AA13+AC13+AE13+AG13+AI13+AK13</f>
        <v>88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7</v>
      </c>
      <c r="J13" s="1" t="n">
        <v>4</v>
      </c>
      <c r="K13" s="1" t="n">
        <v>0</v>
      </c>
      <c r="L13" s="1" t="n">
        <v>0</v>
      </c>
      <c r="M13" s="1" t="n">
        <v>2</v>
      </c>
      <c r="N13" s="1" t="n">
        <v>0</v>
      </c>
      <c r="O13" s="1" t="n">
        <v>2</v>
      </c>
      <c r="P13" s="1" t="n">
        <v>0</v>
      </c>
      <c r="Q13" s="1" t="n">
        <v>3</v>
      </c>
      <c r="R13" s="1" t="n">
        <v>0</v>
      </c>
      <c r="S13" s="1" t="n">
        <v>72</v>
      </c>
      <c r="T13" s="1" t="n">
        <v>0</v>
      </c>
    </row>
    <row r="14" customFormat="false" ht="15" hidden="false" customHeight="false" outlineLevel="0" collapsed="false">
      <c r="A14" s="6" t="n">
        <v>45696</v>
      </c>
      <c r="B14" s="6" t="str">
        <f aca="false">CONCATENATE("S",_xlfn.ISOWEEKNUM(A14),"_",IF(AND(MONTH(A14)=12,_xlfn.ISOWEEKNUM(A14)=1),YEAR(A14)+1,IF(AND(MONTH(A14)=1,_xlfn.ISOWEEKNUM(A14)&gt;50),YEAR(A14)-1,YEAR(A14))))</f>
        <v>S6_2025</v>
      </c>
      <c r="C14" s="7" t="n">
        <f aca="false">E14+G14+I14+K14+M14+O14+O14+Q14+S14+U14+W14+Y14+AA14+AC14+AE14+AG14+AI14+AK14</f>
        <v>78</v>
      </c>
      <c r="D14" s="1" t="n">
        <v>0</v>
      </c>
      <c r="E14" s="1" t="n">
        <v>0</v>
      </c>
      <c r="F14" s="1" t="n">
        <v>2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10</v>
      </c>
      <c r="N14" s="1" t="n">
        <v>0</v>
      </c>
      <c r="O14" s="1" t="n">
        <v>1</v>
      </c>
      <c r="P14" s="1" t="n">
        <v>0</v>
      </c>
      <c r="Q14" s="1" t="n">
        <v>0</v>
      </c>
      <c r="R14" s="1" t="n">
        <v>0</v>
      </c>
      <c r="S14" s="1" t="n">
        <v>66</v>
      </c>
      <c r="T14" s="1" t="n">
        <v>5</v>
      </c>
    </row>
    <row r="15" customFormat="false" ht="15" hidden="false" customHeight="false" outlineLevel="0" collapsed="false">
      <c r="A15" s="6" t="n">
        <v>45697</v>
      </c>
      <c r="B15" s="6" t="str">
        <f aca="false">CONCATENATE("S",_xlfn.ISOWEEKNUM(A15),"_",IF(AND(MONTH(A15)=12,_xlfn.ISOWEEKNUM(A15)=1),YEAR(A15)+1,IF(AND(MONTH(A15)=1,_xlfn.ISOWEEKNUM(A15)&gt;50),YEAR(A15)-1,YEAR(A15))))</f>
        <v>S6_2025</v>
      </c>
      <c r="C15" s="7" t="n">
        <f aca="false">E15+G15+I15+K15+M15+O15+O15+Q15+S15+U15+W15+Y15+AA15+AC15+AE15+AG15+AI15+AK15</f>
        <v>86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3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6</v>
      </c>
      <c r="N15" s="1" t="n">
        <v>0</v>
      </c>
      <c r="O15" s="1" t="n">
        <v>1</v>
      </c>
      <c r="P15" s="1" t="n">
        <v>0</v>
      </c>
      <c r="Q15" s="1" t="n">
        <v>0</v>
      </c>
      <c r="R15" s="1" t="n">
        <v>0</v>
      </c>
      <c r="S15" s="1" t="n">
        <v>78</v>
      </c>
      <c r="T15" s="1" t="n">
        <v>6</v>
      </c>
    </row>
    <row r="16" customFormat="false" ht="15" hidden="false" customHeight="false" outlineLevel="0" collapsed="false">
      <c r="A16" s="6" t="n">
        <v>45698</v>
      </c>
      <c r="B16" s="6" t="str">
        <f aca="false">CONCATENATE("S",_xlfn.ISOWEEKNUM(A16),"_",IF(AND(MONTH(A16)=12,_xlfn.ISOWEEKNUM(A16)=1),YEAR(A16)+1,IF(AND(MONTH(A16)=1,_xlfn.ISOWEEKNUM(A16)&gt;50),YEAR(A16)-1,YEAR(A16))))</f>
        <v>S7_2025</v>
      </c>
      <c r="C16" s="7" t="n">
        <f aca="false">E16+G16+I16+K16+M16+O16+O16+Q16+S16+U16+W16+Y16+AA16+AC16+AE16+AG16+AI16+AK16</f>
        <v>122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0</v>
      </c>
      <c r="L16" s="1" t="n">
        <v>0</v>
      </c>
      <c r="M16" s="1" t="n">
        <v>9</v>
      </c>
      <c r="N16" s="1" t="n">
        <v>1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112</v>
      </c>
      <c r="T16" s="1" t="n">
        <v>3</v>
      </c>
    </row>
    <row r="17" customFormat="false" ht="15" hidden="false" customHeight="false" outlineLevel="0" collapsed="false">
      <c r="A17" s="6" t="n">
        <v>45699</v>
      </c>
      <c r="B17" s="6" t="str">
        <f aca="false">CONCATENATE("S",_xlfn.ISOWEEKNUM(A17),"_",IF(AND(MONTH(A17)=12,_xlfn.ISOWEEKNUM(A17)=1),YEAR(A17)+1,IF(AND(MONTH(A17)=1,_xlfn.ISOWEEKNUM(A17)&gt;50),YEAR(A17)-1,YEAR(A17))))</f>
        <v>S7_2025</v>
      </c>
      <c r="C17" s="7" t="n">
        <f aca="false">E17+G17+I17+K17+M17+O17+O17+Q17+S17+U17+W17+Y17+AA17+AC17+AE17+AG17+AI17+AK17</f>
        <v>277</v>
      </c>
      <c r="D17" s="1" t="n">
        <v>0</v>
      </c>
      <c r="E17" s="1" t="n">
        <v>0</v>
      </c>
      <c r="F17" s="1" t="n">
        <v>1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1</v>
      </c>
      <c r="O17" s="1" t="n">
        <v>3</v>
      </c>
      <c r="P17" s="1" t="n">
        <v>0</v>
      </c>
      <c r="Q17" s="1" t="n">
        <v>0</v>
      </c>
      <c r="R17" s="1" t="n">
        <v>0</v>
      </c>
      <c r="S17" s="1" t="n">
        <v>270</v>
      </c>
      <c r="T17" s="1" t="n">
        <v>6</v>
      </c>
    </row>
    <row r="18" customFormat="false" ht="15" hidden="false" customHeight="false" outlineLevel="0" collapsed="false">
      <c r="A18" s="6" t="n">
        <v>45700</v>
      </c>
      <c r="B18" s="6" t="str">
        <f aca="false">CONCATENATE("S",_xlfn.ISOWEEKNUM(A18),"_",IF(AND(MONTH(A18)=12,_xlfn.ISOWEEKNUM(A18)=1),YEAR(A18)+1,IF(AND(MONTH(A18)=1,_xlfn.ISOWEEKNUM(A18)&gt;50),YEAR(A18)-1,YEAR(A18))))</f>
        <v>S7_2025</v>
      </c>
      <c r="C18" s="7" t="n">
        <f aca="false">E18+G18+I18+K18+M18+O18+O18+Q18+S18+U18+W18+Y18+AA18+AC18+AE18+AG18+AI18+AK18</f>
        <v>226</v>
      </c>
      <c r="D18" s="1" t="n">
        <v>0</v>
      </c>
      <c r="E18" s="1" t="n">
        <v>0</v>
      </c>
      <c r="F18" s="1" t="n">
        <v>2</v>
      </c>
      <c r="G18" s="1" t="n">
        <v>0</v>
      </c>
      <c r="H18" s="1" t="n">
        <v>5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2</v>
      </c>
      <c r="N18" s="1" t="n">
        <v>2</v>
      </c>
      <c r="O18" s="1" t="n">
        <v>1</v>
      </c>
      <c r="P18" s="1" t="n">
        <v>0</v>
      </c>
      <c r="Q18" s="1" t="n">
        <v>0</v>
      </c>
      <c r="R18" s="1" t="n">
        <v>3</v>
      </c>
      <c r="S18" s="1" t="n">
        <v>221</v>
      </c>
      <c r="T18" s="1" t="n">
        <v>5</v>
      </c>
    </row>
    <row r="19" customFormat="false" ht="15" hidden="false" customHeight="false" outlineLevel="0" collapsed="false">
      <c r="A19" s="6" t="n">
        <v>45701</v>
      </c>
      <c r="B19" s="6" t="str">
        <f aca="false">CONCATENATE("S",_xlfn.ISOWEEKNUM(A19),"_",IF(AND(MONTH(A19)=12,_xlfn.ISOWEEKNUM(A19)=1),YEAR(A19)+1,IF(AND(MONTH(A19)=1,_xlfn.ISOWEEKNUM(A19)&gt;50),YEAR(A19)-1,YEAR(A19))))</f>
        <v>S7_2025</v>
      </c>
      <c r="C19" s="7" t="n">
        <f aca="false">E19+G19+I19+K19+M19+O19+Q19+S19+U19+W19+Y19+AA19+AC19+AE19+AG19+AI19+AK19</f>
        <v>93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5</v>
      </c>
      <c r="J19" s="1" t="n">
        <v>0</v>
      </c>
      <c r="K19" s="1" t="n">
        <v>2</v>
      </c>
      <c r="L19" s="1" t="n">
        <v>2</v>
      </c>
      <c r="M19" s="1" t="n">
        <v>3</v>
      </c>
      <c r="N19" s="1" t="n">
        <v>3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83</v>
      </c>
      <c r="T19" s="1" t="n">
        <v>8</v>
      </c>
    </row>
    <row r="20" customFormat="false" ht="15" hidden="false" customHeight="false" outlineLevel="0" collapsed="false">
      <c r="A20" s="6" t="n">
        <v>45702</v>
      </c>
      <c r="B20" s="6" t="str">
        <f aca="false">CONCATENATE("S",_xlfn.ISOWEEKNUM(A20),"_",IF(AND(MONTH(A20)=12,_xlfn.ISOWEEKNUM(A20)=1),YEAR(A20)+1,IF(AND(MONTH(A20)=1,_xlfn.ISOWEEKNUM(A20)&gt;50),YEAR(A20)-1,YEAR(A20))))</f>
        <v>S7_2025</v>
      </c>
      <c r="C20" s="7" t="n">
        <f aca="false">E20+G20+I20+K20+M20+O20+Q20+S20+U20+W20+Y20+AA20+AC20+AE20+AG20+AI20+AK20</f>
        <v>104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9</v>
      </c>
      <c r="I20" s="1" t="n">
        <v>3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2</v>
      </c>
      <c r="P20" s="1" t="n">
        <v>0</v>
      </c>
      <c r="Q20" s="1" t="n">
        <v>0</v>
      </c>
      <c r="R20" s="1" t="n">
        <v>0</v>
      </c>
      <c r="S20" s="1" t="n">
        <v>99</v>
      </c>
      <c r="T20" s="1" t="n">
        <v>6</v>
      </c>
    </row>
    <row r="21" customFormat="false" ht="15" hidden="false" customHeight="false" outlineLevel="0" collapsed="false">
      <c r="A21" s="6" t="n">
        <v>45703</v>
      </c>
      <c r="B21" s="6" t="str">
        <f aca="false">CONCATENATE("S",_xlfn.ISOWEEKNUM(A21),"_",IF(AND(MONTH(A21)=12,_xlfn.ISOWEEKNUM(A21)=1),YEAR(A21)+1,IF(AND(MONTH(A21)=1,_xlfn.ISOWEEKNUM(A21)&gt;50),YEAR(A21)-1,YEAR(A21))))</f>
        <v>S7_2025</v>
      </c>
      <c r="C21" s="7" t="n">
        <f aca="false">E21+G21+I21+K21+M21+O21+Q21+S21+U21+W21+Y21+AA21+AC21+AE21+AG21+AI21+AK21</f>
        <v>238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3</v>
      </c>
      <c r="I21" s="1" t="n">
        <v>2</v>
      </c>
      <c r="J21" s="1" t="n">
        <v>0</v>
      </c>
      <c r="K21" s="1" t="n">
        <v>7</v>
      </c>
      <c r="L21" s="1" t="n">
        <v>1</v>
      </c>
      <c r="M21" s="1" t="n">
        <v>3</v>
      </c>
      <c r="N21" s="1" t="n">
        <v>0</v>
      </c>
      <c r="O21" s="1" t="n">
        <v>2</v>
      </c>
      <c r="P21" s="1" t="n">
        <v>0</v>
      </c>
      <c r="Q21" s="1" t="n">
        <v>0</v>
      </c>
      <c r="R21" s="1" t="n">
        <v>0</v>
      </c>
      <c r="S21" s="1" t="n">
        <v>224</v>
      </c>
      <c r="T21" s="1" t="n">
        <v>9</v>
      </c>
    </row>
    <row r="22" customFormat="false" ht="15" hidden="false" customHeight="false" outlineLevel="0" collapsed="false">
      <c r="A22" s="6" t="n">
        <v>45704</v>
      </c>
      <c r="B22" s="6" t="str">
        <f aca="false">CONCATENATE("S",_xlfn.ISOWEEKNUM(A22),"_",IF(AND(MONTH(A22)=12,_xlfn.ISOWEEKNUM(A22)=1),YEAR(A22)+1,IF(AND(MONTH(A22)=1,_xlfn.ISOWEEKNUM(A22)&gt;50),YEAR(A22)-1,YEAR(A22))))</f>
        <v>S7_2025</v>
      </c>
      <c r="C22" s="7" t="n">
        <f aca="false">E22+G22+I22+K22+M22+O22+Q22+S22+U22+W22+Y22+AA22+AC22+AE22+AG22+AI22+AK22</f>
        <v>136</v>
      </c>
      <c r="D22" s="1" t="n">
        <v>0</v>
      </c>
      <c r="E22" s="1" t="n">
        <v>0</v>
      </c>
      <c r="F22" s="1" t="n">
        <v>5</v>
      </c>
      <c r="G22" s="1" t="n">
        <v>5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5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131</v>
      </c>
      <c r="T22" s="1" t="n">
        <v>1</v>
      </c>
    </row>
    <row r="23" customFormat="false" ht="15" hidden="false" customHeight="false" outlineLevel="0" collapsed="false">
      <c r="A23" s="6" t="n">
        <v>45705</v>
      </c>
      <c r="B23" s="6" t="str">
        <f aca="false">CONCATENATE("S",_xlfn.ISOWEEKNUM(A23),"_",IF(AND(MONTH(A23)=12,_xlfn.ISOWEEKNUM(A23)=1),YEAR(A23)+1,IF(AND(MONTH(A23)=1,_xlfn.ISOWEEKNUM(A23)&gt;50),YEAR(A23)-1,YEAR(A23))))</f>
        <v>S8_2025</v>
      </c>
      <c r="C23" s="7" t="n">
        <f aca="false">E23+G23+I23+K23+M23+O23+Q23+S23+U23+W23+Y23+AA23+AC23+AE23+AG23+AI23+AK23</f>
        <v>119</v>
      </c>
      <c r="D23" s="1" t="n">
        <v>0</v>
      </c>
      <c r="E23" s="1" t="n">
        <v>0</v>
      </c>
      <c r="F23" s="1" t="n">
        <v>3</v>
      </c>
      <c r="G23" s="1" t="n">
        <v>0</v>
      </c>
      <c r="H23" s="1" t="n">
        <v>3</v>
      </c>
      <c r="I23" s="1" t="n">
        <v>1</v>
      </c>
      <c r="J23" s="1" t="n">
        <v>0</v>
      </c>
      <c r="K23" s="1" t="n">
        <v>6</v>
      </c>
      <c r="L23" s="1" t="n">
        <v>3</v>
      </c>
      <c r="M23" s="1" t="n">
        <v>1</v>
      </c>
      <c r="N23" s="1" t="n">
        <v>1</v>
      </c>
      <c r="O23" s="1" t="n">
        <v>2</v>
      </c>
      <c r="P23" s="1" t="n">
        <v>0</v>
      </c>
      <c r="Q23" s="1" t="n">
        <v>0</v>
      </c>
      <c r="R23" s="1" t="n">
        <v>0</v>
      </c>
      <c r="S23" s="1" t="n">
        <v>109</v>
      </c>
      <c r="T23" s="1" t="n">
        <v>6</v>
      </c>
    </row>
    <row r="24" customFormat="false" ht="15" hidden="false" customHeight="false" outlineLevel="0" collapsed="false">
      <c r="A24" s="6" t="n">
        <v>45706</v>
      </c>
      <c r="B24" s="6" t="str">
        <f aca="false">CONCATENATE("S",_xlfn.ISOWEEKNUM(A24),"_",IF(AND(MONTH(A24)=12,_xlfn.ISOWEEKNUM(A24)=1),YEAR(A24)+1,IF(AND(MONTH(A24)=1,_xlfn.ISOWEEKNUM(A24)&gt;50),YEAR(A24)-1,YEAR(A24))))</f>
        <v>S8_2025</v>
      </c>
      <c r="C24" s="7" t="n">
        <f aca="false">E24+G24+I24+K24+M24+O24+Q24+S24+U24+W24+Y24+AA24+AC24+AE24+AG24+AI24+AK24</f>
        <v>181</v>
      </c>
      <c r="D24" s="1" t="n">
        <v>0</v>
      </c>
      <c r="E24" s="1" t="n">
        <v>0</v>
      </c>
      <c r="F24" s="1" t="n">
        <v>2</v>
      </c>
      <c r="G24" s="1" t="n">
        <v>1</v>
      </c>
      <c r="H24" s="1" t="n">
        <v>1</v>
      </c>
      <c r="I24" s="1" t="n">
        <v>0</v>
      </c>
      <c r="J24" s="1" t="n">
        <v>0</v>
      </c>
      <c r="K24" s="1" t="n">
        <v>7</v>
      </c>
      <c r="L24" s="1" t="n">
        <v>1</v>
      </c>
      <c r="M24" s="1" t="n">
        <v>1</v>
      </c>
      <c r="N24" s="1" t="n">
        <v>3</v>
      </c>
      <c r="O24" s="1" t="n">
        <v>3</v>
      </c>
      <c r="P24" s="1" t="n">
        <v>0</v>
      </c>
      <c r="Q24" s="1" t="n">
        <v>0</v>
      </c>
      <c r="R24" s="1" t="n">
        <v>0</v>
      </c>
      <c r="S24" s="1" t="n">
        <v>169</v>
      </c>
      <c r="T24" s="1" t="n">
        <v>4</v>
      </c>
    </row>
    <row r="25" customFormat="false" ht="15" hidden="false" customHeight="false" outlineLevel="0" collapsed="false">
      <c r="A25" s="6" t="n">
        <v>45707</v>
      </c>
      <c r="B25" s="6" t="str">
        <f aca="false">CONCATENATE("S",_xlfn.ISOWEEKNUM(A25),"_",IF(AND(MONTH(A25)=12,_xlfn.ISOWEEKNUM(A25)=1),YEAR(A25)+1,IF(AND(MONTH(A25)=1,_xlfn.ISOWEEKNUM(A25)&gt;50),YEAR(A25)-1,YEAR(A25))))</f>
        <v>S8_2025</v>
      </c>
      <c r="C25" s="7" t="n">
        <f aca="false">E25+G25+I25+K25+M25+O25+Q25+S25+U25+W25+Y25+AA25+AC25+AE25+AG25+AI25+AK25</f>
        <v>251</v>
      </c>
      <c r="D25" s="1" t="n">
        <v>0</v>
      </c>
      <c r="E25" s="1" t="n">
        <v>0</v>
      </c>
      <c r="F25" s="1" t="n">
        <v>9</v>
      </c>
      <c r="G25" s="1" t="n">
        <v>4</v>
      </c>
      <c r="H25" s="1" t="n">
        <v>0</v>
      </c>
      <c r="I25" s="1" t="n">
        <v>1</v>
      </c>
      <c r="J25" s="1" t="n">
        <v>0</v>
      </c>
      <c r="K25" s="1" t="n">
        <v>3</v>
      </c>
      <c r="L25" s="1" t="n">
        <v>0</v>
      </c>
      <c r="M25" s="1" t="n">
        <v>3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240</v>
      </c>
      <c r="T25" s="1" t="n">
        <v>2</v>
      </c>
    </row>
    <row r="26" customFormat="false" ht="15" hidden="false" customHeight="false" outlineLevel="0" collapsed="false">
      <c r="A26" s="6" t="n">
        <v>45708</v>
      </c>
      <c r="B26" s="6" t="str">
        <f aca="false">CONCATENATE("S",_xlfn.ISOWEEKNUM(A26),"_",IF(AND(MONTH(A26)=12,_xlfn.ISOWEEKNUM(A26)=1),YEAR(A26)+1,IF(AND(MONTH(A26)=1,_xlfn.ISOWEEKNUM(A26)&gt;50),YEAR(A26)-1,YEAR(A26))))</f>
        <v>S8_2025</v>
      </c>
      <c r="C26" s="7" t="n">
        <f aca="false">E26+G26+I26+K26+M26+O26+Q26+S26+U26+W26+Y26+AA26+AC26+AE26+AG26+AI26+AK26</f>
        <v>204</v>
      </c>
      <c r="D26" s="1" t="n">
        <v>0</v>
      </c>
      <c r="E26" s="1" t="n">
        <v>0</v>
      </c>
      <c r="F26" s="1" t="n">
        <v>1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2</v>
      </c>
      <c r="L26" s="1" t="n">
        <v>2</v>
      </c>
      <c r="M26" s="1" t="n">
        <v>1</v>
      </c>
      <c r="N26" s="1" t="n">
        <v>0</v>
      </c>
      <c r="O26" s="1" t="n">
        <v>4</v>
      </c>
      <c r="P26" s="1" t="n">
        <v>0</v>
      </c>
      <c r="Q26" s="1" t="n">
        <v>0</v>
      </c>
      <c r="R26" s="1" t="n">
        <v>0</v>
      </c>
      <c r="S26" s="1" t="n">
        <v>197</v>
      </c>
      <c r="T26" s="1" t="n">
        <v>24</v>
      </c>
    </row>
    <row r="27" customFormat="false" ht="15" hidden="false" customHeight="false" outlineLevel="0" collapsed="false">
      <c r="A27" s="6" t="n">
        <v>45709</v>
      </c>
      <c r="B27" s="6" t="str">
        <f aca="false">CONCATENATE("S",_xlfn.ISOWEEKNUM(A27),"_",IF(AND(MONTH(A27)=12,_xlfn.ISOWEEKNUM(A27)=1),YEAR(A27)+1,IF(AND(MONTH(A27)=1,_xlfn.ISOWEEKNUM(A27)&gt;50),YEAR(A27)-1,YEAR(A27))))</f>
        <v>S8_2025</v>
      </c>
      <c r="C27" s="7" t="n">
        <f aca="false">E27+G27+I27+K27+M27+O27+Q27+S27+U27+W27+Y27+AA27+AC27+AE27+AG27+AI27+AK27</f>
        <v>159</v>
      </c>
      <c r="D27" s="1" t="n">
        <v>0</v>
      </c>
      <c r="E27" s="1" t="n">
        <v>0</v>
      </c>
      <c r="F27" s="1" t="n">
        <v>4</v>
      </c>
      <c r="G27" s="1" t="n">
        <v>0</v>
      </c>
      <c r="H27" s="1" t="n">
        <v>0</v>
      </c>
      <c r="I27" s="1" t="n">
        <v>1</v>
      </c>
      <c r="J27" s="1" t="n">
        <v>1</v>
      </c>
      <c r="K27" s="1" t="n">
        <v>4</v>
      </c>
      <c r="L27" s="1" t="n">
        <v>3</v>
      </c>
      <c r="M27" s="1" t="n">
        <v>2</v>
      </c>
      <c r="N27" s="1" t="n">
        <v>3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152</v>
      </c>
      <c r="T27" s="1" t="n">
        <v>9</v>
      </c>
    </row>
    <row r="28" customFormat="false" ht="15" hidden="false" customHeight="false" outlineLevel="0" collapsed="false">
      <c r="A28" s="6" t="n">
        <v>45710</v>
      </c>
      <c r="B28" s="6" t="str">
        <f aca="false">CONCATENATE("S",_xlfn.ISOWEEKNUM(A28),"_",IF(AND(MONTH(A28)=12,_xlfn.ISOWEEKNUM(A28)=1),YEAR(A28)+1,IF(AND(MONTH(A28)=1,_xlfn.ISOWEEKNUM(A28)&gt;50),YEAR(A28)-1,YEAR(A28))))</f>
        <v>S8_2025</v>
      </c>
      <c r="C28" s="7" t="n">
        <f aca="false">E28+G28+I28+K28+M28+O28+Q28+S28+U28+W28+Y28+AA28+AC28+AE28+AG28+AI28+AK28</f>
        <v>90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2</v>
      </c>
      <c r="L28" s="1" t="n">
        <v>0</v>
      </c>
      <c r="M28" s="1" t="n">
        <v>1</v>
      </c>
      <c r="N28" s="1" t="n">
        <v>1</v>
      </c>
      <c r="O28" s="1" t="n">
        <v>0</v>
      </c>
      <c r="P28" s="1" t="n">
        <v>1</v>
      </c>
      <c r="Q28" s="1" t="n">
        <v>0</v>
      </c>
      <c r="R28" s="1" t="n">
        <v>0</v>
      </c>
      <c r="S28" s="1" t="n">
        <v>87</v>
      </c>
      <c r="T28" s="1" t="n">
        <v>12</v>
      </c>
    </row>
    <row r="29" customFormat="false" ht="15" hidden="false" customHeight="false" outlineLevel="0" collapsed="false">
      <c r="A29" s="6" t="n">
        <v>45711</v>
      </c>
      <c r="B29" s="6" t="str">
        <f aca="false">CONCATENATE("S",_xlfn.ISOWEEKNUM(A29),"_",IF(AND(MONTH(A29)=12,_xlfn.ISOWEEKNUM(A29)=1),YEAR(A29)+1,IF(AND(MONTH(A29)=1,_xlfn.ISOWEEKNUM(A29)&gt;50),YEAR(A29)-1,YEAR(A29))))</f>
        <v>S8_2025</v>
      </c>
      <c r="C29" s="7" t="n">
        <f aca="false">E29+G29+I29+K29+M29+O29+Q29+S29+U29+W29+Y29+AA29+AC29+AE29+AG29+AI29+AK29</f>
        <v>158</v>
      </c>
      <c r="D29" s="1" t="n">
        <v>0</v>
      </c>
      <c r="E29" s="1" t="n">
        <v>0</v>
      </c>
      <c r="F29" s="1" t="n">
        <v>4</v>
      </c>
      <c r="G29" s="1" t="n">
        <v>0</v>
      </c>
      <c r="H29" s="1" t="n">
        <v>0</v>
      </c>
      <c r="I29" s="1" t="n">
        <v>3</v>
      </c>
      <c r="J29" s="1" t="n">
        <v>0</v>
      </c>
      <c r="K29" s="1" t="n">
        <v>0</v>
      </c>
      <c r="L29" s="1" t="n">
        <v>0</v>
      </c>
      <c r="M29" s="1" t="n">
        <v>4</v>
      </c>
      <c r="N29" s="1" t="n">
        <v>0</v>
      </c>
      <c r="O29" s="1" t="n">
        <v>0</v>
      </c>
      <c r="P29" s="1" t="n">
        <v>1</v>
      </c>
      <c r="Q29" s="1" t="n">
        <v>0</v>
      </c>
      <c r="R29" s="1" t="n">
        <v>0</v>
      </c>
      <c r="S29" s="1" t="n">
        <v>151</v>
      </c>
      <c r="T29" s="1" t="n">
        <v>10</v>
      </c>
    </row>
    <row r="30" customFormat="false" ht="15" hidden="false" customHeight="false" outlineLevel="0" collapsed="false">
      <c r="A30" s="6" t="n">
        <v>45712</v>
      </c>
      <c r="B30" s="6" t="str">
        <f aca="false">CONCATENATE("S",_xlfn.ISOWEEKNUM(A30),"_",IF(AND(MONTH(A30)=12,_xlfn.ISOWEEKNUM(A30)=1),YEAR(A30)+1,IF(AND(MONTH(A30)=1,_xlfn.ISOWEEKNUM(A30)&gt;50),YEAR(A30)-1,YEAR(A30))))</f>
        <v>S9_2025</v>
      </c>
      <c r="C30" s="7" t="n">
        <f aca="false">E30+G30+I30+K30+M30+O30+Q30+S30+U30+W30+Y30+AA30+AC30+AE30+AG30+AI30+AK30</f>
        <v>111</v>
      </c>
      <c r="D30" s="1" t="n">
        <v>0</v>
      </c>
      <c r="E30" s="1" t="n">
        <v>0</v>
      </c>
      <c r="F30" s="1" t="n">
        <v>3</v>
      </c>
      <c r="G30" s="1" t="n">
        <v>0</v>
      </c>
      <c r="H30" s="1" t="n">
        <v>0</v>
      </c>
      <c r="I30" s="1" t="n">
        <v>1</v>
      </c>
      <c r="J30" s="1" t="n">
        <v>0</v>
      </c>
      <c r="K30" s="1" t="n">
        <v>0</v>
      </c>
      <c r="L30" s="1" t="n">
        <v>2</v>
      </c>
      <c r="M30" s="1" t="n">
        <v>1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109</v>
      </c>
      <c r="T30" s="1" t="n">
        <v>7</v>
      </c>
    </row>
    <row r="31" customFormat="false" ht="15" hidden="false" customHeight="false" outlineLevel="0" collapsed="false">
      <c r="A31" s="6" t="n">
        <v>45713</v>
      </c>
      <c r="B31" s="6" t="str">
        <f aca="false">CONCATENATE("S",_xlfn.ISOWEEKNUM(A31),"_",IF(AND(MONTH(A31)=12,_xlfn.ISOWEEKNUM(A31)=1),YEAR(A31)+1,IF(AND(MONTH(A31)=1,_xlfn.ISOWEEKNUM(A31)&gt;50),YEAR(A31)-1,YEAR(A31))))</f>
        <v>S9_2025</v>
      </c>
      <c r="C31" s="7" t="n">
        <f aca="false">E31+G31+I31+K31+M31+O31+Q31+S31+U31+W31+Y31+AA31+AC31+AE31+AG31+AI31+AK31</f>
        <v>260</v>
      </c>
      <c r="D31" s="1" t="n">
        <v>0</v>
      </c>
      <c r="E31" s="1" t="n">
        <v>0</v>
      </c>
      <c r="F31" s="1" t="n">
        <v>3</v>
      </c>
      <c r="G31" s="1" t="n">
        <v>0</v>
      </c>
      <c r="H31" s="1" t="n">
        <v>0</v>
      </c>
      <c r="I31" s="1" t="n">
        <v>2</v>
      </c>
      <c r="J31" s="1" t="n">
        <v>1</v>
      </c>
      <c r="K31" s="1" t="n">
        <v>6</v>
      </c>
      <c r="L31" s="1" t="n">
        <v>0</v>
      </c>
      <c r="M31" s="1" t="n">
        <v>1</v>
      </c>
      <c r="N31" s="1" t="n">
        <v>0</v>
      </c>
      <c r="O31" s="1" t="n">
        <v>5</v>
      </c>
      <c r="P31" s="1" t="n">
        <v>0</v>
      </c>
      <c r="Q31" s="1" t="n">
        <v>0</v>
      </c>
      <c r="R31" s="1" t="n">
        <v>0</v>
      </c>
      <c r="S31" s="1" t="n">
        <v>246</v>
      </c>
      <c r="T31" s="1" t="n">
        <v>27</v>
      </c>
    </row>
    <row r="32" customFormat="false" ht="15" hidden="false" customHeight="false" outlineLevel="0" collapsed="false">
      <c r="A32" s="6" t="n">
        <v>45714</v>
      </c>
      <c r="B32" s="6" t="str">
        <f aca="false">CONCATENATE("S",_xlfn.ISOWEEKNUM(A32),"_",IF(AND(MONTH(A32)=12,_xlfn.ISOWEEKNUM(A32)=1),YEAR(A32)+1,IF(AND(MONTH(A32)=1,_xlfn.ISOWEEKNUM(A32)&gt;50),YEAR(A32)-1,YEAR(A32))))</f>
        <v>S9_2025</v>
      </c>
      <c r="C32" s="7" t="n">
        <f aca="false">E32+G32+I32+K32+M32+O32+Q32+S32+U32+W32+Y32+AA32+AC32+AE32+AG32+AI32+AK32</f>
        <v>173</v>
      </c>
      <c r="D32" s="1" t="n">
        <v>0</v>
      </c>
      <c r="E32" s="1" t="n">
        <v>0</v>
      </c>
      <c r="F32" s="1" t="n">
        <v>0</v>
      </c>
      <c r="G32" s="1" t="n">
        <v>2</v>
      </c>
      <c r="H32" s="1" t="n">
        <v>0</v>
      </c>
      <c r="I32" s="1" t="n">
        <v>0</v>
      </c>
      <c r="J32" s="1" t="n">
        <v>0</v>
      </c>
      <c r="K32" s="1" t="n">
        <v>3</v>
      </c>
      <c r="L32" s="1" t="n">
        <v>0</v>
      </c>
      <c r="M32" s="1" t="n">
        <v>3</v>
      </c>
      <c r="N32" s="1" t="n">
        <v>1</v>
      </c>
      <c r="O32" s="1" t="n">
        <v>0</v>
      </c>
      <c r="P32" s="1" t="n">
        <v>2</v>
      </c>
      <c r="Q32" s="1" t="n">
        <v>0</v>
      </c>
      <c r="R32" s="1" t="n">
        <v>0</v>
      </c>
      <c r="S32" s="1" t="n">
        <v>165</v>
      </c>
      <c r="T32" s="1" t="n">
        <v>83</v>
      </c>
    </row>
    <row r="33" customFormat="false" ht="15" hidden="false" customHeight="false" outlineLevel="0" collapsed="false">
      <c r="A33" s="6" t="n">
        <v>45715</v>
      </c>
      <c r="B33" s="6" t="str">
        <f aca="false">CONCATENATE("S",_xlfn.ISOWEEKNUM(A33),"_",IF(AND(MONTH(A33)=12,_xlfn.ISOWEEKNUM(A33)=1),YEAR(A33)+1,IF(AND(MONTH(A33)=1,_xlfn.ISOWEEKNUM(A33)&gt;50),YEAR(A33)-1,YEAR(A33))))</f>
        <v>S9_2025</v>
      </c>
      <c r="C33" s="7" t="n">
        <f aca="false">E33+G33+I33+K33+M33+O33+Q33+S33+U33+W33+Y33+AA33+AC33+AE33+AG33+AI33+AK33</f>
        <v>77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1</v>
      </c>
      <c r="J33" s="1" t="n">
        <v>0</v>
      </c>
      <c r="K33" s="1" t="n">
        <v>0</v>
      </c>
      <c r="L33" s="1" t="n">
        <v>0</v>
      </c>
      <c r="M33" s="1" t="n">
        <v>1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75</v>
      </c>
      <c r="T33" s="1" t="n">
        <v>11</v>
      </c>
    </row>
    <row r="34" customFormat="false" ht="15" hidden="false" customHeight="false" outlineLevel="0" collapsed="false">
      <c r="A34" s="6" t="n">
        <v>45716</v>
      </c>
      <c r="B34" s="6" t="str">
        <f aca="false">CONCATENATE("S",_xlfn.ISOWEEKNUM(A34),"_",IF(AND(MONTH(A34)=12,_xlfn.ISOWEEKNUM(A34)=1),YEAR(A34)+1,IF(AND(MONTH(A34)=1,_xlfn.ISOWEEKNUM(A34)&gt;50),YEAR(A34)-1,YEAR(A34))))</f>
        <v>S9_2025</v>
      </c>
      <c r="C34" s="7" t="n">
        <f aca="false">E34+G34+I34+K34+M34+O34+Q34+S34+U34+W34+Y34+AA34+AC34+AE34+AG34+AI34+AK34</f>
        <v>78</v>
      </c>
      <c r="D34" s="1" t="n">
        <v>0</v>
      </c>
      <c r="E34" s="1" t="n">
        <v>0</v>
      </c>
      <c r="F34" s="1" t="n">
        <v>0</v>
      </c>
      <c r="G34" s="1" t="n">
        <v>1</v>
      </c>
      <c r="H34" s="1" t="n">
        <v>0</v>
      </c>
      <c r="I34" s="1" t="n">
        <v>1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1</v>
      </c>
      <c r="P34" s="1" t="n">
        <v>0</v>
      </c>
      <c r="Q34" s="1" t="n">
        <v>0</v>
      </c>
      <c r="R34" s="1" t="n">
        <v>0</v>
      </c>
      <c r="S34" s="1" t="n">
        <v>75</v>
      </c>
      <c r="T34" s="1" t="n">
        <v>11</v>
      </c>
    </row>
    <row r="35" customFormat="false" ht="15" hidden="false" customHeight="false" outlineLevel="0" collapsed="false">
      <c r="A35" s="6" t="n">
        <v>45717</v>
      </c>
      <c r="B35" s="6" t="str">
        <f aca="false">CONCATENATE("S",_xlfn.ISOWEEKNUM(A35),"_",IF(AND(MONTH(A35)=12,_xlfn.ISOWEEKNUM(A35)=1),YEAR(A35)+1,IF(AND(MONTH(A35)=1,_xlfn.ISOWEEKNUM(A35)&gt;50),YEAR(A35)-1,YEAR(A35))))</f>
        <v>S9_2025</v>
      </c>
      <c r="C35" s="7" t="n">
        <f aca="false">E35+G35+I35+K35+M35+O35+Q35+S35+U35+W35+Y35+AA35+AC35+AE35+AG35+AI35+AK35</f>
        <v>356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6</v>
      </c>
      <c r="J35" s="1" t="n">
        <v>0</v>
      </c>
      <c r="K35" s="1" t="n">
        <v>0</v>
      </c>
      <c r="L35" s="1" t="n">
        <v>1</v>
      </c>
      <c r="M35" s="1" t="n">
        <v>20</v>
      </c>
      <c r="N35" s="1" t="n">
        <v>0</v>
      </c>
      <c r="O35" s="1" t="n">
        <v>6</v>
      </c>
      <c r="P35" s="1" t="n">
        <v>1</v>
      </c>
      <c r="Q35" s="1" t="n">
        <v>0</v>
      </c>
      <c r="R35" s="1" t="n">
        <v>0</v>
      </c>
      <c r="S35" s="1" t="n">
        <v>324</v>
      </c>
      <c r="T35" s="1" t="n">
        <v>27</v>
      </c>
    </row>
    <row r="36" customFormat="false" ht="15" hidden="false" customHeight="false" outlineLevel="0" collapsed="false">
      <c r="A36" s="6" t="n">
        <v>45718</v>
      </c>
      <c r="B36" s="6" t="str">
        <f aca="false">CONCATENATE("S",_xlfn.ISOWEEKNUM(A36),"_",IF(AND(MONTH(A36)=12,_xlfn.ISOWEEKNUM(A36)=1),YEAR(A36)+1,IF(AND(MONTH(A36)=1,_xlfn.ISOWEEKNUM(A36)&gt;50),YEAR(A36)-1,YEAR(A36))))</f>
        <v>S9_2025</v>
      </c>
      <c r="C36" s="7" t="n">
        <f aca="false">E36+G36+I36+K36+M36+O36+Q36+S36+U36+W36+Y36+AA36+AC36+AE36+AG36+AI36+AK36</f>
        <v>40</v>
      </c>
      <c r="D36" s="1" t="n">
        <v>0</v>
      </c>
      <c r="E36" s="1" t="n">
        <v>0</v>
      </c>
      <c r="F36" s="1" t="n">
        <v>0</v>
      </c>
      <c r="G36" s="1" t="n">
        <v>2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3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35</v>
      </c>
      <c r="T36" s="1" t="n">
        <v>17</v>
      </c>
    </row>
    <row r="37" customFormat="false" ht="15" hidden="false" customHeight="false" outlineLevel="0" collapsed="false">
      <c r="A37" s="8" t="n">
        <v>45719</v>
      </c>
      <c r="B37" s="6" t="str">
        <f aca="false">CONCATENATE("S",_xlfn.ISOWEEKNUM(A37),"_",IF(AND(MONTH(A37)=12,_xlfn.ISOWEEKNUM(A37)=1),YEAR(A37)+1,IF(AND(MONTH(A37)=1,_xlfn.ISOWEEKNUM(A37)&gt;50),YEAR(A37)-1,YEAR(A37))))</f>
        <v>S10_2025</v>
      </c>
      <c r="C37" s="9" t="n">
        <f aca="false">E37+G37+I37+K37+M37+O37+Q37+S37+U37+W37+Y37+AA37+AC37+AE37+AG37+AI37+AK37</f>
        <v>60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3</v>
      </c>
      <c r="J37" s="9" t="n">
        <v>0</v>
      </c>
      <c r="K37" s="9" t="n">
        <v>0</v>
      </c>
      <c r="L37" s="9" t="n">
        <v>7</v>
      </c>
      <c r="M37" s="9" t="n">
        <v>2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55</v>
      </c>
      <c r="T37" s="9" t="n">
        <v>30</v>
      </c>
    </row>
    <row r="38" customFormat="false" ht="15" hidden="false" customHeight="false" outlineLevel="0" collapsed="false">
      <c r="A38" s="8" t="n">
        <v>45720</v>
      </c>
      <c r="B38" s="6" t="str">
        <f aca="false">CONCATENATE("S",_xlfn.ISOWEEKNUM(A38),"_",IF(AND(MONTH(A38)=12,_xlfn.ISOWEEKNUM(A38)=1),YEAR(A38)+1,IF(AND(MONTH(A38)=1,_xlfn.ISOWEEKNUM(A38)&gt;50),YEAR(A38)-1,YEAR(A38))))</f>
        <v>S10_2025</v>
      </c>
      <c r="C38" s="9" t="n">
        <f aca="false">E38+G38+I38+K38+M38+O38+Q38+S38+U38+W38+Y38+AA38+AC38+AE38+AG38+AI38+AK38</f>
        <v>294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2</v>
      </c>
      <c r="J38" s="9" t="n">
        <v>0</v>
      </c>
      <c r="K38" s="9" t="n">
        <v>6</v>
      </c>
      <c r="L38" s="9" t="n">
        <v>6</v>
      </c>
      <c r="M38" s="9" t="n">
        <v>2</v>
      </c>
      <c r="N38" s="9" t="n">
        <v>0</v>
      </c>
      <c r="O38" s="9" t="n">
        <v>8</v>
      </c>
      <c r="P38" s="9" t="n">
        <v>0</v>
      </c>
      <c r="Q38" s="9" t="n">
        <v>0</v>
      </c>
      <c r="R38" s="9" t="n">
        <v>0</v>
      </c>
      <c r="S38" s="9" t="n">
        <v>276</v>
      </c>
      <c r="T38" s="9" t="n">
        <v>27</v>
      </c>
    </row>
    <row r="39" customFormat="false" ht="15" hidden="false" customHeight="false" outlineLevel="0" collapsed="false">
      <c r="A39" s="8" t="n">
        <v>45721</v>
      </c>
      <c r="B39" s="6" t="str">
        <f aca="false">CONCATENATE("S",_xlfn.ISOWEEKNUM(A39),"_",IF(AND(MONTH(A39)=12,_xlfn.ISOWEEKNUM(A39)=1),YEAR(A39)+1,IF(AND(MONTH(A39)=1,_xlfn.ISOWEEKNUM(A39)&gt;50),YEAR(A39)-1,YEAR(A39))))</f>
        <v>S10_2025</v>
      </c>
      <c r="C39" s="9" t="n">
        <f aca="false">E39+G39+I39+K39+M39+O39+Q39+S39+U39+W39+Y39+AA39+AC39+AE39+AG39+AI39+AK39</f>
        <v>171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3</v>
      </c>
      <c r="J39" s="9" t="n">
        <v>0</v>
      </c>
      <c r="K39" s="9" t="n">
        <v>0</v>
      </c>
      <c r="L39" s="9" t="n">
        <v>7</v>
      </c>
      <c r="M39" s="9" t="n">
        <v>4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164</v>
      </c>
      <c r="T39" s="9" t="n">
        <v>26</v>
      </c>
    </row>
    <row r="40" customFormat="false" ht="15" hidden="false" customHeight="false" outlineLevel="0" collapsed="false">
      <c r="A40" s="8" t="n">
        <v>45722</v>
      </c>
      <c r="B40" s="6" t="str">
        <f aca="false">CONCATENATE("S",_xlfn.ISOWEEKNUM(A40),"_",IF(AND(MONTH(A40)=12,_xlfn.ISOWEEKNUM(A40)=1),YEAR(A40)+1,IF(AND(MONTH(A40)=1,_xlfn.ISOWEEKNUM(A40)&gt;50),YEAR(A40)-1,YEAR(A40))))</f>
        <v>S10_2025</v>
      </c>
      <c r="C40" s="9" t="n">
        <f aca="false">E40+G40+I40+K40+M40+O40+Q40+S40+U40+W40+Y40+AA40+AC40+AE40+AG40+AI40+AK40</f>
        <v>116</v>
      </c>
      <c r="D40" s="9" t="n">
        <v>0</v>
      </c>
      <c r="E40" s="9" t="n">
        <v>0</v>
      </c>
      <c r="F40" s="9" t="n">
        <v>3</v>
      </c>
      <c r="G40" s="9" t="n">
        <v>0</v>
      </c>
      <c r="H40" s="9" t="n">
        <v>1</v>
      </c>
      <c r="I40" s="9" t="n">
        <v>1</v>
      </c>
      <c r="J40" s="9" t="n">
        <v>8</v>
      </c>
      <c r="K40" s="9" t="n">
        <v>7</v>
      </c>
      <c r="L40" s="9" t="n">
        <v>0</v>
      </c>
      <c r="M40" s="9" t="n">
        <v>1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107</v>
      </c>
      <c r="T40" s="9" t="n">
        <v>20</v>
      </c>
    </row>
    <row r="41" customFormat="false" ht="15" hidden="false" customHeight="false" outlineLevel="0" collapsed="false">
      <c r="A41" s="8" t="n">
        <v>45723</v>
      </c>
      <c r="B41" s="6" t="str">
        <f aca="false">CONCATENATE("S",_xlfn.ISOWEEKNUM(A41),"_",IF(AND(MONTH(A41)=12,_xlfn.ISOWEEKNUM(A41)=1),YEAR(A41)+1,IF(AND(MONTH(A41)=1,_xlfn.ISOWEEKNUM(A41)&gt;50),YEAR(A41)-1,YEAR(A41))))</f>
        <v>S10_2025</v>
      </c>
      <c r="C41" s="9" t="n">
        <f aca="false">E41+G41+I41+K41+M41+O41+Q41+S41+U41+W41+Y41+AA41+AC41+AE41+AG41+AI41+AK41</f>
        <v>74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4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70</v>
      </c>
      <c r="T41" s="9" t="n">
        <v>17</v>
      </c>
    </row>
    <row r="42" customFormat="false" ht="15" hidden="false" customHeight="false" outlineLevel="0" collapsed="false">
      <c r="A42" s="8" t="n">
        <v>45724</v>
      </c>
      <c r="B42" s="6" t="str">
        <f aca="false">CONCATENATE("S",_xlfn.ISOWEEKNUM(A42),"_",IF(AND(MONTH(A42)=12,_xlfn.ISOWEEKNUM(A42)=1),YEAR(A42)+1,IF(AND(MONTH(A42)=1,_xlfn.ISOWEEKNUM(A42)&gt;50),YEAR(A42)-1,YEAR(A42))))</f>
        <v>S10_2025</v>
      </c>
      <c r="C42" s="9" t="n">
        <f aca="false">E42+G42+I42+K42+M42+O42+Q42+S42+U42+W42+Y42+AA42+AC42+AE42+AG42+AI42+AK42</f>
        <v>85</v>
      </c>
      <c r="D42" s="9" t="n">
        <v>3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1</v>
      </c>
      <c r="J42" s="9" t="n">
        <v>2</v>
      </c>
      <c r="K42" s="9" t="n">
        <v>0</v>
      </c>
      <c r="L42" s="9" t="n">
        <v>0</v>
      </c>
      <c r="M42" s="9" t="n">
        <v>2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1</v>
      </c>
      <c r="S42" s="9" t="n">
        <v>82</v>
      </c>
      <c r="T42" s="9" t="n">
        <v>67</v>
      </c>
    </row>
    <row r="43" customFormat="false" ht="15" hidden="false" customHeight="false" outlineLevel="0" collapsed="false">
      <c r="A43" s="8" t="n">
        <v>45725</v>
      </c>
      <c r="B43" s="6" t="str">
        <f aca="false">CONCATENATE("S",_xlfn.ISOWEEKNUM(A43),"_",IF(AND(MONTH(A43)=12,_xlfn.ISOWEEKNUM(A43)=1),YEAR(A43)+1,IF(AND(MONTH(A43)=1,_xlfn.ISOWEEKNUM(A43)&gt;50),YEAR(A43)-1,YEAR(A43))))</f>
        <v>S10_2025</v>
      </c>
      <c r="C43" s="9" t="n">
        <f aca="false">E43+G43+I43+K43+M43+O43+Q43+S43+U43+W43+Y43+AA43+AC43+AE43+AG43+AI43+AK43</f>
        <v>128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1</v>
      </c>
      <c r="I43" s="9" t="n">
        <v>1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2</v>
      </c>
      <c r="R43" s="9" t="n">
        <v>0</v>
      </c>
      <c r="S43" s="9" t="n">
        <v>125</v>
      </c>
      <c r="T43" s="9" t="n">
        <v>4</v>
      </c>
    </row>
    <row r="44" customFormat="false" ht="15" hidden="false" customHeight="false" outlineLevel="0" collapsed="false">
      <c r="A44" s="6" t="n">
        <v>45726</v>
      </c>
      <c r="B44" s="6" t="str">
        <f aca="false">CONCATENATE("S",_xlfn.ISOWEEKNUM(A44),"_",IF(AND(MONTH(A44)=12,_xlfn.ISOWEEKNUM(A44)=1),YEAR(A44)+1,IF(AND(MONTH(A44)=1,_xlfn.ISOWEEKNUM(A44)&gt;50),YEAR(A44)-1,YEAR(A44))))</f>
        <v>S11_2025</v>
      </c>
      <c r="C44" s="7" t="n">
        <f aca="false">E44+G44+I44+K44+M44+O44+Q44+S44+U44+W44+Y44+AA44+AC44+AE44+AG44+AI44+AK44</f>
        <v>94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6</v>
      </c>
      <c r="J44" s="1" t="n">
        <v>0</v>
      </c>
      <c r="K44" s="1" t="n">
        <v>0</v>
      </c>
      <c r="L44" s="1" t="n">
        <v>0</v>
      </c>
      <c r="M44" s="1" t="n">
        <v>2</v>
      </c>
      <c r="N44" s="1" t="n">
        <v>2</v>
      </c>
      <c r="O44" s="1" t="n">
        <v>2</v>
      </c>
      <c r="P44" s="1" t="n">
        <v>0</v>
      </c>
      <c r="Q44" s="1" t="n">
        <v>0</v>
      </c>
      <c r="R44" s="1" t="n">
        <v>0</v>
      </c>
      <c r="S44" s="1" t="n">
        <v>84</v>
      </c>
      <c r="T44" s="1" t="n">
        <v>12</v>
      </c>
    </row>
    <row r="45" customFormat="false" ht="15" hidden="false" customHeight="false" outlineLevel="0" collapsed="false">
      <c r="A45" s="6" t="n">
        <v>45727</v>
      </c>
      <c r="B45" s="6" t="str">
        <f aca="false">CONCATENATE("S",_xlfn.ISOWEEKNUM(A45),"_",IF(AND(MONTH(A45)=12,_xlfn.ISOWEEKNUM(A45)=1),YEAR(A45)+1,IF(AND(MONTH(A45)=1,_xlfn.ISOWEEKNUM(A45)&gt;50),YEAR(A45)-1,YEAR(A45))))</f>
        <v>S11_2025</v>
      </c>
      <c r="C45" s="7" t="n">
        <f aca="false">E45+G45+I45+K45+M45+O45+Q45+S45+U45+W45+Y45+AA45+AC45+AE45+AG45+AI45+AK45</f>
        <v>172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4</v>
      </c>
      <c r="L45" s="1" t="n">
        <v>0</v>
      </c>
      <c r="M45" s="1" t="n">
        <v>0</v>
      </c>
      <c r="N45" s="1" t="n">
        <v>0</v>
      </c>
      <c r="O45" s="1" t="n">
        <v>2</v>
      </c>
      <c r="P45" s="1" t="n">
        <v>0</v>
      </c>
      <c r="Q45" s="1" t="n">
        <v>0</v>
      </c>
      <c r="R45" s="1" t="n">
        <v>0</v>
      </c>
      <c r="S45" s="1" t="n">
        <v>166</v>
      </c>
      <c r="T45" s="1" t="n">
        <v>0</v>
      </c>
    </row>
    <row r="46" customFormat="false" ht="15" hidden="false" customHeight="false" outlineLevel="0" collapsed="false">
      <c r="A46" s="6" t="n">
        <v>45728</v>
      </c>
      <c r="B46" s="6" t="str">
        <f aca="false">CONCATENATE("S",_xlfn.ISOWEEKNUM(A46),"_",IF(AND(MONTH(A46)=12,_xlfn.ISOWEEKNUM(A46)=1),YEAR(A46)+1,IF(AND(MONTH(A46)=1,_xlfn.ISOWEEKNUM(A46)&gt;50),YEAR(A46)-1,YEAR(A46))))</f>
        <v>S11_2025</v>
      </c>
      <c r="C46" s="7" t="n">
        <f aca="false">E46+G46+I46+K46+M46+O46+Q46+S46+U46+W46+Y46+AA46+AC46+AE46+AG46+AI46+AK46</f>
        <v>152</v>
      </c>
      <c r="D46" s="1" t="n">
        <v>0</v>
      </c>
      <c r="E46" s="1" t="n">
        <v>0</v>
      </c>
      <c r="F46" s="1" t="n">
        <v>3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1</v>
      </c>
      <c r="L46" s="1" t="n">
        <v>4</v>
      </c>
      <c r="M46" s="1" t="n">
        <v>0</v>
      </c>
      <c r="N46" s="1" t="n">
        <v>2</v>
      </c>
      <c r="O46" s="1" t="n">
        <v>3</v>
      </c>
      <c r="P46" s="1" t="n">
        <v>0</v>
      </c>
      <c r="Q46" s="1" t="n">
        <v>0</v>
      </c>
      <c r="R46" s="1" t="n">
        <v>0</v>
      </c>
      <c r="S46" s="1" t="n">
        <v>148</v>
      </c>
      <c r="T46" s="1" t="n">
        <v>2</v>
      </c>
    </row>
    <row r="47" customFormat="false" ht="15" hidden="false" customHeight="false" outlineLevel="0" collapsed="false">
      <c r="A47" s="6" t="n">
        <v>45729</v>
      </c>
      <c r="B47" s="6" t="str">
        <f aca="false">CONCATENATE("S",_xlfn.ISOWEEKNUM(A47),"_",IF(AND(MONTH(A47)=12,_xlfn.ISOWEEKNUM(A47)=1),YEAR(A47)+1,IF(AND(MONTH(A47)=1,_xlfn.ISOWEEKNUM(A47)&gt;50),YEAR(A47)-1,YEAR(A47))))</f>
        <v>S11_2025</v>
      </c>
      <c r="C47" s="7" t="n">
        <f aca="false">E47+G47+I47+K47+M47+O47+Q47+S47+U47+W47+Y47+AA47+AC47+AE47+AG47+AI47+AK47</f>
        <v>180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2</v>
      </c>
      <c r="J47" s="1" t="n">
        <v>0</v>
      </c>
      <c r="K47" s="1" t="n">
        <v>0</v>
      </c>
      <c r="L47" s="1" t="n">
        <v>7</v>
      </c>
      <c r="M47" s="1" t="n">
        <v>1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177</v>
      </c>
      <c r="T47" s="1" t="n">
        <v>14</v>
      </c>
    </row>
    <row r="48" customFormat="false" ht="15" hidden="false" customHeight="false" outlineLevel="0" collapsed="false">
      <c r="A48" s="6" t="n">
        <v>45730</v>
      </c>
      <c r="B48" s="6" t="str">
        <f aca="false">CONCATENATE("S",_xlfn.ISOWEEKNUM(A48),"_",IF(AND(MONTH(A48)=12,_xlfn.ISOWEEKNUM(A48)=1),YEAR(A48)+1,IF(AND(MONTH(A48)=1,_xlfn.ISOWEEKNUM(A48)&gt;50),YEAR(A48)-1,YEAR(A48))))</f>
        <v>S11_2025</v>
      </c>
      <c r="C48" s="7" t="n">
        <f aca="false">E48+G48+I48+K48+M48+O48+Q48+S48+U48+W48+Y48+AA48+AC48+AE48+AG48+AI48+AK48</f>
        <v>160</v>
      </c>
      <c r="D48" s="1" t="n">
        <v>0</v>
      </c>
      <c r="E48" s="1" t="n">
        <v>0</v>
      </c>
      <c r="F48" s="1" t="n">
        <v>2</v>
      </c>
      <c r="G48" s="1" t="n">
        <v>0</v>
      </c>
      <c r="H48" s="1" t="n">
        <v>0</v>
      </c>
      <c r="I48" s="1" t="n">
        <v>3</v>
      </c>
      <c r="J48" s="1" t="n">
        <v>0</v>
      </c>
      <c r="K48" s="1" t="n">
        <v>0</v>
      </c>
      <c r="L48" s="1" t="n">
        <v>5</v>
      </c>
      <c r="M48" s="1" t="n">
        <v>2</v>
      </c>
      <c r="N48" s="1" t="n">
        <v>1</v>
      </c>
      <c r="O48" s="1" t="n">
        <v>5</v>
      </c>
      <c r="P48" s="1" t="n">
        <v>0</v>
      </c>
      <c r="Q48" s="1" t="n">
        <v>0</v>
      </c>
      <c r="R48" s="1" t="n">
        <v>0</v>
      </c>
      <c r="S48" s="1" t="n">
        <v>150</v>
      </c>
      <c r="T48" s="1" t="n">
        <v>17</v>
      </c>
    </row>
    <row r="49" customFormat="false" ht="15" hidden="false" customHeight="false" outlineLevel="0" collapsed="false">
      <c r="A49" s="6" t="n">
        <v>45731</v>
      </c>
      <c r="B49" s="6" t="str">
        <f aca="false">CONCATENATE("S",_xlfn.ISOWEEKNUM(A49),"_",IF(AND(MONTH(A49)=12,_xlfn.ISOWEEKNUM(A49)=1),YEAR(A49)+1,IF(AND(MONTH(A49)=1,_xlfn.ISOWEEKNUM(A49)&gt;50),YEAR(A49)-1,YEAR(A49))))</f>
        <v>S11_2025</v>
      </c>
      <c r="C49" s="7" t="n">
        <f aca="false">E49+G49+I49+K49+M49+O49+Q49+S49+U49+W49+Y49+AA49+AC49+AE49+AG49+AI49+AK49</f>
        <v>75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4</v>
      </c>
      <c r="I49" s="1" t="n">
        <v>0</v>
      </c>
      <c r="J49" s="1" t="n">
        <v>0</v>
      </c>
      <c r="K49" s="1" t="n">
        <v>4</v>
      </c>
      <c r="L49" s="1" t="n">
        <v>0</v>
      </c>
      <c r="M49" s="1" t="n">
        <v>0</v>
      </c>
      <c r="N49" s="1" t="n">
        <v>1</v>
      </c>
      <c r="O49" s="1" t="n">
        <v>2</v>
      </c>
      <c r="P49" s="1" t="n">
        <v>0</v>
      </c>
      <c r="Q49" s="1" t="n">
        <v>0</v>
      </c>
      <c r="R49" s="1" t="n">
        <v>0</v>
      </c>
      <c r="S49" s="1" t="n">
        <v>69</v>
      </c>
      <c r="T49" s="1" t="n">
        <v>20</v>
      </c>
    </row>
    <row r="50" customFormat="false" ht="15" hidden="false" customHeight="false" outlineLevel="0" collapsed="false">
      <c r="A50" s="6" t="n">
        <v>45732</v>
      </c>
      <c r="B50" s="6" t="str">
        <f aca="false">CONCATENATE("S",_xlfn.ISOWEEKNUM(A50),"_",IF(AND(MONTH(A50)=12,_xlfn.ISOWEEKNUM(A50)=1),YEAR(A50)+1,IF(AND(MONTH(A50)=1,_xlfn.ISOWEEKNUM(A50)&gt;50),YEAR(A50)-1,YEAR(A50))))</f>
        <v>S11_2025</v>
      </c>
      <c r="C50" s="7" t="n">
        <f aca="false">E50+G50+I50+K50+M50+O50+Q50+S50+U50+W50+Y50+AA50+AC50+AE50+AG50+AI50+AK50</f>
        <v>172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5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167</v>
      </c>
      <c r="T50" s="1" t="n">
        <v>25</v>
      </c>
    </row>
    <row r="51" customFormat="false" ht="15" hidden="false" customHeight="false" outlineLevel="0" collapsed="false">
      <c r="A51" s="6" t="n">
        <v>45733</v>
      </c>
      <c r="B51" s="6" t="str">
        <f aca="false">CONCATENATE("S",_xlfn.ISOWEEKNUM(A51),"_",IF(AND(MONTH(A51)=12,_xlfn.ISOWEEKNUM(A51)=1),YEAR(A51)+1,IF(AND(MONTH(A51)=1,_xlfn.ISOWEEKNUM(A51)&gt;50),YEAR(A51)-1,YEAR(A51))))</f>
        <v>S12_2025</v>
      </c>
      <c r="C51" s="7" t="n">
        <f aca="false">E51+G51+I51+K51+M51+O51+Q51+S51+U51+W51+Y51+AA51+AC51+AE51+AG51+AI51+AK51</f>
        <v>136</v>
      </c>
      <c r="D51" s="1" t="n">
        <v>0</v>
      </c>
      <c r="E51" s="1" t="n">
        <v>0</v>
      </c>
      <c r="F51" s="1" t="n">
        <v>1</v>
      </c>
      <c r="G51" s="1" t="n">
        <v>0</v>
      </c>
      <c r="H51" s="1" t="n">
        <v>0</v>
      </c>
      <c r="I51" s="1" t="n">
        <v>2</v>
      </c>
      <c r="J51" s="1" t="n">
        <v>0</v>
      </c>
      <c r="K51" s="1" t="n">
        <v>0</v>
      </c>
      <c r="L51" s="1" t="n">
        <v>1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134</v>
      </c>
      <c r="T51" s="1" t="n">
        <v>2</v>
      </c>
    </row>
    <row r="52" customFormat="false" ht="15" hidden="false" customHeight="false" outlineLevel="0" collapsed="false">
      <c r="A52" s="6" t="n">
        <v>45734</v>
      </c>
      <c r="B52" s="6" t="str">
        <f aca="false">CONCATENATE("S",_xlfn.ISOWEEKNUM(A52),"_",IF(AND(MONTH(A52)=12,_xlfn.ISOWEEKNUM(A52)=1),YEAR(A52)+1,IF(AND(MONTH(A52)=1,_xlfn.ISOWEEKNUM(A52)&gt;50),YEAR(A52)-1,YEAR(A52))))</f>
        <v>S12_2025</v>
      </c>
      <c r="C52" s="7" t="n">
        <f aca="false">E52+G52+I52+K52+M52+O52+Q52+S52+U52+W52+Y52+AA52+AC52+AE52+AG52+AI52+AK52</f>
        <v>156</v>
      </c>
      <c r="D52" s="1" t="n">
        <v>0</v>
      </c>
      <c r="E52" s="1" t="n">
        <v>0</v>
      </c>
      <c r="F52" s="1" t="n">
        <v>0</v>
      </c>
      <c r="G52" s="1" t="n">
        <v>9</v>
      </c>
      <c r="H52" s="1" t="n">
        <v>0</v>
      </c>
      <c r="I52" s="1" t="n">
        <v>1</v>
      </c>
      <c r="J52" s="1" t="n">
        <v>0</v>
      </c>
      <c r="K52" s="1" t="n">
        <v>3</v>
      </c>
      <c r="L52" s="1" t="n">
        <v>0</v>
      </c>
      <c r="M52" s="1" t="n">
        <v>2</v>
      </c>
      <c r="N52" s="1" t="n">
        <v>1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141</v>
      </c>
      <c r="T52" s="1" t="n">
        <v>22</v>
      </c>
    </row>
    <row r="53" customFormat="false" ht="15" hidden="false" customHeight="false" outlineLevel="0" collapsed="false">
      <c r="A53" s="6" t="n">
        <v>45735</v>
      </c>
      <c r="B53" s="6" t="str">
        <f aca="false">CONCATENATE("S",_xlfn.ISOWEEKNUM(A53),"_",IF(AND(MONTH(A53)=12,_xlfn.ISOWEEKNUM(A53)=1),YEAR(A53)+1,IF(AND(MONTH(A53)=1,_xlfn.ISOWEEKNUM(A53)&gt;50),YEAR(A53)-1,YEAR(A53))))</f>
        <v>S12_2025</v>
      </c>
      <c r="C53" s="7" t="n">
        <f aca="false">E53+G53+I53+K53+M53+O53+Q53+S53+U53+W53+Y53+AA53+AC53+AE53+AG53+AI53+AK53</f>
        <v>49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49</v>
      </c>
      <c r="T53" s="1" t="n">
        <v>15</v>
      </c>
    </row>
    <row r="54" customFormat="false" ht="15" hidden="false" customHeight="false" outlineLevel="0" collapsed="false">
      <c r="A54" s="6" t="n">
        <v>45736</v>
      </c>
      <c r="B54" s="6" t="str">
        <f aca="false">CONCATENATE("S",_xlfn.ISOWEEKNUM(A54),"_",IF(AND(MONTH(A54)=12,_xlfn.ISOWEEKNUM(A54)=1),YEAR(A54)+1,IF(AND(MONTH(A54)=1,_xlfn.ISOWEEKNUM(A54)&gt;50),YEAR(A54)-1,YEAR(A54))))</f>
        <v>S12_2025</v>
      </c>
      <c r="C54" s="7" t="n">
        <f aca="false">E54+G54+I54+K54+M54+O54+Q54+S54+U54+W54+Y54+AA54+AC54+AE54+AG54+AI54+AK54</f>
        <v>206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3</v>
      </c>
      <c r="K54" s="1" t="n">
        <v>2</v>
      </c>
      <c r="L54" s="1" t="n">
        <v>0</v>
      </c>
      <c r="M54" s="1" t="n">
        <v>0</v>
      </c>
      <c r="N54" s="1" t="n">
        <v>0</v>
      </c>
      <c r="O54" s="1" t="n">
        <v>1</v>
      </c>
      <c r="P54" s="1" t="n">
        <v>0</v>
      </c>
      <c r="Q54" s="1" t="n">
        <v>0</v>
      </c>
      <c r="R54" s="1" t="n">
        <v>0</v>
      </c>
      <c r="S54" s="1" t="n">
        <v>203</v>
      </c>
      <c r="T54" s="1" t="n">
        <v>7</v>
      </c>
    </row>
    <row r="55" customFormat="false" ht="15" hidden="false" customHeight="false" outlineLevel="0" collapsed="false">
      <c r="A55" s="6" t="n">
        <v>45737</v>
      </c>
      <c r="B55" s="6" t="str">
        <f aca="false">CONCATENATE("S",_xlfn.ISOWEEKNUM(A55),"_",IF(AND(MONTH(A55)=12,_xlfn.ISOWEEKNUM(A55)=1),YEAR(A55)+1,IF(AND(MONTH(A55)=1,_xlfn.ISOWEEKNUM(A55)&gt;50),YEAR(A55)-1,YEAR(A55))))</f>
        <v>S12_2025</v>
      </c>
      <c r="C55" s="7" t="n">
        <f aca="false">E55+G55+I55+K55+M55+O55+Q55+S55+U55+W55+Y55+AA55+AC55+AE55+AG55+AI55+AK55</f>
        <v>71</v>
      </c>
      <c r="D55" s="1" t="n">
        <v>0</v>
      </c>
      <c r="E55" s="1" t="n">
        <v>0</v>
      </c>
      <c r="F55" s="1" t="n">
        <v>4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1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70</v>
      </c>
      <c r="T55" s="1" t="n">
        <v>7</v>
      </c>
    </row>
    <row r="56" customFormat="false" ht="15" hidden="false" customHeight="false" outlineLevel="0" collapsed="false">
      <c r="A56" s="6" t="n">
        <v>45738</v>
      </c>
      <c r="B56" s="6" t="str">
        <f aca="false">CONCATENATE("S",_xlfn.ISOWEEKNUM(A56),"_",IF(AND(MONTH(A56)=12,_xlfn.ISOWEEKNUM(A56)=1),YEAR(A56)+1,IF(AND(MONTH(A56)=1,_xlfn.ISOWEEKNUM(A56)&gt;50),YEAR(A56)-1,YEAR(A56))))</f>
        <v>S12_2025</v>
      </c>
      <c r="C56" s="7" t="n">
        <f aca="false">E56+G56+I56+K56+M56+O56+Q56+S56+U56+W56+Y56+AA56+AC56+AE56+AG56+AI56+AK56</f>
        <v>48</v>
      </c>
      <c r="D56" s="1" t="n">
        <v>1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2</v>
      </c>
      <c r="K56" s="1" t="n">
        <v>0</v>
      </c>
      <c r="L56" s="1" t="n">
        <v>0</v>
      </c>
      <c r="M56" s="1" t="n">
        <v>1</v>
      </c>
      <c r="N56" s="1" t="n">
        <v>4</v>
      </c>
      <c r="O56" s="1" t="n">
        <v>2</v>
      </c>
      <c r="P56" s="1" t="n">
        <v>0</v>
      </c>
      <c r="Q56" s="1" t="n">
        <v>0</v>
      </c>
      <c r="R56" s="1" t="n">
        <v>0</v>
      </c>
      <c r="S56" s="1" t="n">
        <v>45</v>
      </c>
      <c r="T56" s="1" t="n">
        <v>4</v>
      </c>
    </row>
    <row r="57" customFormat="false" ht="15" hidden="false" customHeight="false" outlineLevel="0" collapsed="false">
      <c r="A57" s="6" t="n">
        <v>45739</v>
      </c>
      <c r="B57" s="6" t="str">
        <f aca="false">CONCATENATE("S",_xlfn.ISOWEEKNUM(A57),"_",IF(AND(MONTH(A57)=12,_xlfn.ISOWEEKNUM(A57)=1),YEAR(A57)+1,IF(AND(MONTH(A57)=1,_xlfn.ISOWEEKNUM(A57)&gt;50),YEAR(A57)-1,YEAR(A57))))</f>
        <v>S12_2025</v>
      </c>
      <c r="C57" s="7" t="n">
        <f aca="false">E57+G57+I57+K57+M57+O57+Q57+S57+U57+W57+Y57+AA57+AC57+AE57+AG57+AI57+AK57</f>
        <v>104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4</v>
      </c>
      <c r="L57" s="1" t="n">
        <v>0</v>
      </c>
      <c r="M57" s="1" t="n">
        <v>0</v>
      </c>
      <c r="N57" s="1" t="n">
        <v>0</v>
      </c>
      <c r="O57" s="1" t="n">
        <v>2</v>
      </c>
      <c r="P57" s="1" t="n">
        <v>0</v>
      </c>
      <c r="Q57" s="1" t="n">
        <v>0</v>
      </c>
      <c r="R57" s="1" t="n">
        <v>0</v>
      </c>
      <c r="S57" s="1" t="n">
        <v>98</v>
      </c>
      <c r="T57" s="1" t="n">
        <v>11</v>
      </c>
    </row>
    <row r="58" customFormat="false" ht="15" hidden="false" customHeight="false" outlineLevel="0" collapsed="false">
      <c r="A58" s="6" t="n">
        <v>45740</v>
      </c>
      <c r="B58" s="6" t="str">
        <f aca="false">CONCATENATE("S",_xlfn.ISOWEEKNUM(A58),"_",IF(AND(MONTH(A58)=12,_xlfn.ISOWEEKNUM(A58)=1),YEAR(A58)+1,IF(AND(MONTH(A58)=1,_xlfn.ISOWEEKNUM(A58)&gt;50),YEAR(A58)-1,YEAR(A58))))</f>
        <v>S13_2025</v>
      </c>
      <c r="C58" s="7" t="n">
        <f aca="false">E58+G58+I58+K58+M58+O58+Q58+S58+U58+W58+Y58+AA58+AC58+AE58+AG58+AI58+AK58</f>
        <v>125</v>
      </c>
      <c r="D58" s="1" t="n">
        <v>0</v>
      </c>
      <c r="E58" s="1" t="n">
        <v>0</v>
      </c>
      <c r="F58" s="1" t="n">
        <v>7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2</v>
      </c>
      <c r="L58" s="1" t="n">
        <v>0</v>
      </c>
      <c r="M58" s="1" t="n">
        <v>2</v>
      </c>
      <c r="N58" s="1" t="n">
        <v>1</v>
      </c>
      <c r="O58" s="1" t="n">
        <v>9</v>
      </c>
      <c r="P58" s="1" t="n">
        <v>0</v>
      </c>
      <c r="Q58" s="1" t="n">
        <v>0</v>
      </c>
      <c r="R58" s="1" t="n">
        <v>0</v>
      </c>
      <c r="S58" s="1" t="n">
        <v>112</v>
      </c>
      <c r="T58" s="1" t="n">
        <v>21</v>
      </c>
    </row>
    <row r="59" customFormat="false" ht="15" hidden="false" customHeight="false" outlineLevel="0" collapsed="false">
      <c r="A59" s="6" t="n">
        <v>45741</v>
      </c>
      <c r="B59" s="6" t="str">
        <f aca="false">CONCATENATE("S",_xlfn.ISOWEEKNUM(A59),"_",IF(AND(MONTH(A59)=12,_xlfn.ISOWEEKNUM(A59)=1),YEAR(A59)+1,IF(AND(MONTH(A59)=1,_xlfn.ISOWEEKNUM(A59)&gt;50),YEAR(A59)-1,YEAR(A59))))</f>
        <v>S13_2025</v>
      </c>
      <c r="C59" s="7" t="n">
        <f aca="false">E59+G59+I59+K59+M59+O59+Q59+S59+U59+W59+Y59+AA59+AC59+AE59+AG59+AI59+AK59</f>
        <v>148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2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144</v>
      </c>
      <c r="T59" s="1" t="n">
        <v>0</v>
      </c>
    </row>
    <row r="60" customFormat="false" ht="15" hidden="false" customHeight="false" outlineLevel="0" collapsed="false">
      <c r="A60" s="6" t="n">
        <v>45742</v>
      </c>
      <c r="B60" s="6" t="str">
        <f aca="false">CONCATENATE("S",_xlfn.ISOWEEKNUM(A60),"_",IF(AND(MONTH(A60)=12,_xlfn.ISOWEEKNUM(A60)=1),YEAR(A60)+1,IF(AND(MONTH(A60)=1,_xlfn.ISOWEEKNUM(A60)&gt;50),YEAR(A60)-1,YEAR(A60))))</f>
        <v>S13_2025</v>
      </c>
      <c r="C60" s="7" t="n">
        <f aca="false">E60+G60+I60+K60+M60+O60+Q60+S60+U60+W60+Y60+AA60+AC60+AE60+AG60+AI60+AK60</f>
        <v>78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78</v>
      </c>
      <c r="T60" s="1" t="n">
        <v>62</v>
      </c>
    </row>
    <row r="61" customFormat="false" ht="15" hidden="false" customHeight="false" outlineLevel="0" collapsed="false">
      <c r="A61" s="6" t="n">
        <v>45743</v>
      </c>
      <c r="B61" s="6" t="str">
        <f aca="false">CONCATENATE("S",_xlfn.ISOWEEKNUM(A61),"_",IF(AND(MONTH(A61)=12,_xlfn.ISOWEEKNUM(A61)=1),YEAR(A61)+1,IF(AND(MONTH(A61)=1,_xlfn.ISOWEEKNUM(A61)&gt;50),YEAR(A61)-1,YEAR(A61))))</f>
        <v>S13_2025</v>
      </c>
      <c r="C61" s="7" t="n">
        <f aca="false">E61+G61+I61+K61+M61+O61+Q61+S61+U61+W61+Y61+AA61+AC61+AE61+AG61+AI61+AK61</f>
        <v>92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1</v>
      </c>
      <c r="I61" s="1" t="n">
        <v>1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3</v>
      </c>
      <c r="O61" s="1" t="n">
        <v>1</v>
      </c>
      <c r="P61" s="1" t="n">
        <v>0</v>
      </c>
      <c r="Q61" s="1" t="n">
        <v>0</v>
      </c>
      <c r="R61" s="1" t="n">
        <v>0</v>
      </c>
      <c r="S61" s="1" t="n">
        <v>90</v>
      </c>
      <c r="T61" s="1" t="n">
        <v>0</v>
      </c>
    </row>
    <row r="62" customFormat="false" ht="15" hidden="false" customHeight="false" outlineLevel="0" collapsed="false">
      <c r="A62" s="6" t="n">
        <v>45744</v>
      </c>
      <c r="B62" s="6" t="str">
        <f aca="false">CONCATENATE("S",_xlfn.ISOWEEKNUM(A62),"_",IF(AND(MONTH(A62)=12,_xlfn.ISOWEEKNUM(A62)=1),YEAR(A62)+1,IF(AND(MONTH(A62)=1,_xlfn.ISOWEEKNUM(A62)&gt;50),YEAR(A62)-1,YEAR(A62))))</f>
        <v>S13_2025</v>
      </c>
      <c r="C62" s="7" t="n">
        <f aca="false">E62+G62+I62+K62+M62+O62+Q62+S62+U62+W62+Y62+AA62+AC62+AE62+AG62+AI62+AK62</f>
        <v>187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3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2</v>
      </c>
      <c r="O62" s="1" t="n">
        <v>5</v>
      </c>
      <c r="P62" s="1" t="n">
        <v>0</v>
      </c>
      <c r="Q62" s="1" t="n">
        <v>0</v>
      </c>
      <c r="R62" s="1" t="n">
        <v>0</v>
      </c>
      <c r="S62" s="1" t="n">
        <v>179</v>
      </c>
      <c r="T62" s="1" t="n">
        <v>2</v>
      </c>
    </row>
    <row r="63" customFormat="false" ht="15" hidden="false" customHeight="false" outlineLevel="0" collapsed="false">
      <c r="A63" s="6" t="n">
        <v>45745</v>
      </c>
      <c r="B63" s="6" t="str">
        <f aca="false">CONCATENATE("S",_xlfn.ISOWEEKNUM(A63),"_",IF(AND(MONTH(A63)=12,_xlfn.ISOWEEKNUM(A63)=1),YEAR(A63)+1,IF(AND(MONTH(A63)=1,_xlfn.ISOWEEKNUM(A63)&gt;50),YEAR(A63)-1,YEAR(A63))))</f>
        <v>S13_2025</v>
      </c>
      <c r="C63" s="7" t="n">
        <f aca="false">E63+G63+I63+K63+M63+O63+Q63+S63+U63+W63+Y63+AA63+AC63+AE63+AG63+AI63+AK63</f>
        <v>304</v>
      </c>
      <c r="D63" s="1" t="n">
        <v>0</v>
      </c>
      <c r="E63" s="1" t="n">
        <v>0</v>
      </c>
      <c r="F63" s="1" t="n">
        <v>0</v>
      </c>
      <c r="G63" s="1" t="n">
        <v>1</v>
      </c>
      <c r="H63" s="1" t="n">
        <v>0</v>
      </c>
      <c r="I63" s="1" t="n">
        <v>4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4</v>
      </c>
      <c r="P63" s="1" t="n">
        <v>0</v>
      </c>
      <c r="Q63" s="1" t="n">
        <v>0</v>
      </c>
      <c r="R63" s="1" t="n">
        <v>0</v>
      </c>
      <c r="S63" s="1" t="n">
        <v>295</v>
      </c>
      <c r="T63" s="1" t="n">
        <v>6</v>
      </c>
    </row>
    <row r="64" customFormat="false" ht="15" hidden="false" customHeight="false" outlineLevel="0" collapsed="false">
      <c r="A64" s="6" t="n">
        <v>45746</v>
      </c>
      <c r="B64" s="6" t="str">
        <f aca="false">CONCATENATE("S",_xlfn.ISOWEEKNUM(A64),"_",IF(AND(MONTH(A64)=12,_xlfn.ISOWEEKNUM(A64)=1),YEAR(A64)+1,IF(AND(MONTH(A64)=1,_xlfn.ISOWEEKNUM(A64)&gt;50),YEAR(A64)-1,YEAR(A64))))</f>
        <v>S13_2025</v>
      </c>
      <c r="C64" s="7" t="n">
        <f aca="false">E64+G64+I64+K64+M64+O64+Q64+S64+U64+W64+Y64+AA64+AC64+AE64+AG64+AI64+AK64</f>
        <v>63</v>
      </c>
      <c r="D64" s="1" t="n">
        <v>0</v>
      </c>
      <c r="E64" s="1" t="n">
        <v>0</v>
      </c>
      <c r="F64" s="1" t="n">
        <v>2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5</v>
      </c>
      <c r="O64" s="1" t="n">
        <v>13</v>
      </c>
      <c r="P64" s="1" t="n">
        <v>0</v>
      </c>
      <c r="Q64" s="1" t="n">
        <v>0</v>
      </c>
      <c r="S64" s="1" t="n">
        <v>50</v>
      </c>
      <c r="T64" s="1" t="n">
        <v>0</v>
      </c>
    </row>
    <row r="65" customFormat="false" ht="15" hidden="false" customHeight="false" outlineLevel="0" collapsed="false">
      <c r="A65" s="6" t="n">
        <v>45747</v>
      </c>
      <c r="B65" s="6" t="str">
        <f aca="false">CONCATENATE("S",_xlfn.ISOWEEKNUM(A65),"_",IF(AND(MONTH(A65)=12,_xlfn.ISOWEEKNUM(A65)=1),YEAR(A65)+1,IF(AND(MONTH(A65)=1,_xlfn.ISOWEEKNUM(A65)&gt;50),YEAR(A65)-1,YEAR(A65))))</f>
        <v>S14_2025</v>
      </c>
      <c r="C65" s="7" t="n">
        <f aca="false">E65+G65+I65+K65+M65+O65+Q65+S65+U65+W65+Y65+AA65+AC65+AE65+AG65+AI65+AK65</f>
        <v>75</v>
      </c>
      <c r="D65" s="1" t="n">
        <v>0</v>
      </c>
      <c r="E65" s="1" t="n">
        <v>0</v>
      </c>
      <c r="F65" s="1" t="n">
        <v>3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9</v>
      </c>
      <c r="O65" s="1" t="n">
        <v>10</v>
      </c>
      <c r="P65" s="1" t="n">
        <v>0</v>
      </c>
      <c r="Q65" s="1" t="n">
        <v>0</v>
      </c>
      <c r="R65" s="1" t="n">
        <v>0</v>
      </c>
      <c r="S65" s="1" t="n">
        <v>65</v>
      </c>
      <c r="T65" s="1" t="n">
        <v>8</v>
      </c>
    </row>
    <row r="66" customFormat="false" ht="15" hidden="false" customHeight="false" outlineLevel="0" collapsed="false">
      <c r="A66" s="6" t="n">
        <v>45748</v>
      </c>
      <c r="B66" s="6" t="str">
        <f aca="false">CONCATENATE("S",_xlfn.ISOWEEKNUM(A66),"_",IF(AND(MONTH(A66)=12,_xlfn.ISOWEEKNUM(A66)=1),YEAR(A66)+1,IF(AND(MONTH(A66)=1,_xlfn.ISOWEEKNUM(A66)&gt;50),YEAR(A66)-1,YEAR(A66))))</f>
        <v>S14_2025</v>
      </c>
      <c r="C66" s="7" t="n">
        <f aca="false">E66+G66+I66+K66+M66+O66+Q66+S66+U66+W66+Y66+AA66+AC66+AE66+AG66+AI66+AK66</f>
        <v>139</v>
      </c>
      <c r="D66" s="1" t="n">
        <v>2</v>
      </c>
      <c r="E66" s="1" t="n">
        <v>0</v>
      </c>
      <c r="F66" s="1" t="n">
        <v>1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1</v>
      </c>
      <c r="N66" s="1" t="n">
        <v>0</v>
      </c>
      <c r="O66" s="1" t="n">
        <v>1</v>
      </c>
      <c r="P66" s="1" t="n">
        <v>2</v>
      </c>
      <c r="Q66" s="1" t="n">
        <v>0</v>
      </c>
      <c r="R66" s="1" t="n">
        <v>0</v>
      </c>
      <c r="S66" s="1" t="n">
        <v>137</v>
      </c>
      <c r="T66" s="1" t="n">
        <v>14</v>
      </c>
    </row>
    <row r="67" customFormat="false" ht="15" hidden="false" customHeight="false" outlineLevel="0" collapsed="false">
      <c r="A67" s="6" t="n">
        <v>45749</v>
      </c>
      <c r="B67" s="6" t="str">
        <f aca="false">CONCATENATE("S",_xlfn.ISOWEEKNUM(A67),"_",IF(AND(MONTH(A67)=12,_xlfn.ISOWEEKNUM(A67)=1),YEAR(A67)+1,IF(AND(MONTH(A67)=1,_xlfn.ISOWEEKNUM(A67)&gt;50),YEAR(A67)-1,YEAR(A67))))</f>
        <v>S14_2025</v>
      </c>
      <c r="C67" s="7" t="n">
        <f aca="false">E67+G67+I67+K67+M67+O67+Q67+S67+U67+W67+Y67+AA67+AC67+AE67+AG67+AI67+AK67</f>
        <v>93</v>
      </c>
      <c r="D67" s="1" t="n">
        <v>0</v>
      </c>
      <c r="E67" s="1" t="n">
        <v>0</v>
      </c>
      <c r="F67" s="1" t="n">
        <v>2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4</v>
      </c>
      <c r="P67" s="1" t="n">
        <v>2</v>
      </c>
      <c r="Q67" s="1" t="n">
        <v>0</v>
      </c>
      <c r="R67" s="1" t="n">
        <v>0</v>
      </c>
      <c r="S67" s="1" t="n">
        <v>89</v>
      </c>
      <c r="T67" s="1" t="n">
        <v>5</v>
      </c>
    </row>
    <row r="68" customFormat="false" ht="15" hidden="false" customHeight="false" outlineLevel="0" collapsed="false">
      <c r="A68" s="6" t="n">
        <v>45750</v>
      </c>
      <c r="B68" s="6" t="str">
        <f aca="false">CONCATENATE("S",_xlfn.ISOWEEKNUM(A68),"_",IF(AND(MONTH(A68)=12,_xlfn.ISOWEEKNUM(A68)=1),YEAR(A68)+1,IF(AND(MONTH(A68)=1,_xlfn.ISOWEEKNUM(A68)&gt;50),YEAR(A68)-1,YEAR(A68))))</f>
        <v>S14_2025</v>
      </c>
      <c r="C68" s="7" t="n">
        <f aca="false">E68+G68+I68+K68+M68+O68+Q68+S68+U68+W68+Y68+AA68+AC68+AE68+AG68+AI68+AK68</f>
        <v>251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1</v>
      </c>
      <c r="K68" s="1" t="n">
        <v>0</v>
      </c>
      <c r="L68" s="1" t="n">
        <v>0</v>
      </c>
      <c r="M68" s="1" t="n">
        <v>2</v>
      </c>
      <c r="N68" s="1" t="n">
        <v>1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249</v>
      </c>
      <c r="T68" s="1" t="n">
        <v>5</v>
      </c>
    </row>
    <row r="69" customFormat="false" ht="15" hidden="false" customHeight="false" outlineLevel="0" collapsed="false">
      <c r="A69" s="6" t="n">
        <v>45751</v>
      </c>
      <c r="B69" s="6" t="str">
        <f aca="false">CONCATENATE("S",_xlfn.ISOWEEKNUM(A69),"_",IF(AND(MONTH(A69)=12,_xlfn.ISOWEEKNUM(A69)=1),YEAR(A69)+1,IF(AND(MONTH(A69)=1,_xlfn.ISOWEEKNUM(A69)&gt;50),YEAR(A69)-1,YEAR(A69))))</f>
        <v>S14_2025</v>
      </c>
      <c r="C69" s="7" t="n">
        <f aca="false">E69+G69+I69+K69+M69+O69+Q69+S69+U69+W69+Y69+AA69+AC69+AE69+AG69+AI69+AK69</f>
        <v>296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2</v>
      </c>
      <c r="K69" s="1" t="n">
        <v>1</v>
      </c>
      <c r="L69" s="1" t="n">
        <v>0</v>
      </c>
      <c r="M69" s="1" t="n">
        <v>0</v>
      </c>
      <c r="N69" s="1" t="n">
        <v>2</v>
      </c>
      <c r="O69" s="1" t="n">
        <v>13</v>
      </c>
      <c r="P69" s="1" t="n">
        <v>0</v>
      </c>
      <c r="Q69" s="1" t="n">
        <v>0</v>
      </c>
      <c r="R69" s="1" t="n">
        <v>0</v>
      </c>
      <c r="S69" s="1" t="n">
        <v>282</v>
      </c>
      <c r="T69" s="1" t="n">
        <v>0</v>
      </c>
    </row>
    <row r="70" customFormat="false" ht="15" hidden="false" customHeight="false" outlineLevel="0" collapsed="false">
      <c r="A70" s="6" t="n">
        <v>45752</v>
      </c>
      <c r="B70" s="6" t="str">
        <f aca="false">CONCATENATE("S",_xlfn.ISOWEEKNUM(A70),"_",IF(AND(MONTH(A70)=12,_xlfn.ISOWEEKNUM(A70)=1),YEAR(A70)+1,IF(AND(MONTH(A70)=1,_xlfn.ISOWEEKNUM(A70)&gt;50),YEAR(A70)-1,YEAR(A70))))</f>
        <v>S14_2025</v>
      </c>
      <c r="C70" s="7" t="n">
        <f aca="false">E70+G70+I70+K70+M70+O70+Q70+S70+U70+W70+Y70+AA70+AC70+AE70+AG70+AI70+AK70</f>
        <v>137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137</v>
      </c>
      <c r="T70" s="1" t="n">
        <v>4</v>
      </c>
    </row>
    <row r="71" customFormat="false" ht="15" hidden="false" customHeight="false" outlineLevel="0" collapsed="false">
      <c r="A71" s="6" t="n">
        <v>45753</v>
      </c>
      <c r="B71" s="6" t="str">
        <f aca="false">CONCATENATE("S",_xlfn.ISOWEEKNUM(A71),"_",IF(AND(MONTH(A71)=12,_xlfn.ISOWEEKNUM(A71)=1),YEAR(A71)+1,IF(AND(MONTH(A71)=1,_xlfn.ISOWEEKNUM(A71)&gt;50),YEAR(A71)-1,YEAR(A71))))</f>
        <v>S14_2025</v>
      </c>
      <c r="C71" s="7" t="n">
        <f aca="false">E71+G71+I71+K71+M71+O71+Q71+S71+U71+W71+Y71+AA71+AC71+AE71+AG71+AI71+AK71</f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</row>
    <row r="72" customFormat="false" ht="15" hidden="false" customHeight="false" outlineLevel="0" collapsed="false">
      <c r="A72" s="6" t="n">
        <v>45754</v>
      </c>
      <c r="B72" s="6" t="str">
        <f aca="false">CONCATENATE("S",_xlfn.ISOWEEKNUM(A72),"_",IF(AND(MONTH(A72)=12,_xlfn.ISOWEEKNUM(A72)=1),YEAR(A72)+1,IF(AND(MONTH(A72)=1,_xlfn.ISOWEEKNUM(A72)&gt;50),YEAR(A72)-1,YEAR(A72))))</f>
        <v>S15_2025</v>
      </c>
      <c r="C72" s="7" t="n">
        <f aca="false">E72+G72+I72+K72+M72+O72+Q72+S72+U72+W72+Y72+AA72+AC72+AE72+AG72+AI72+AK72</f>
        <v>46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46</v>
      </c>
      <c r="T72" s="1" t="n">
        <v>27</v>
      </c>
    </row>
    <row r="73" customFormat="false" ht="15" hidden="false" customHeight="false" outlineLevel="0" collapsed="false">
      <c r="A73" s="6" t="n">
        <v>45755</v>
      </c>
      <c r="B73" s="6" t="str">
        <f aca="false">CONCATENATE("S",_xlfn.ISOWEEKNUM(A73),"_",IF(AND(MONTH(A73)=12,_xlfn.ISOWEEKNUM(A73)=1),YEAR(A73)+1,IF(AND(MONTH(A73)=1,_xlfn.ISOWEEKNUM(A73)&gt;50),YEAR(A73)-1,YEAR(A73))))</f>
        <v>S15_2025</v>
      </c>
      <c r="C73" s="7" t="n">
        <f aca="false">E73+G73+I73+K73+M73+O73+Q73+S73+U73+W73+Y73+AA73+AC73+AE73+AG73+AI73+AK73</f>
        <v>157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4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2</v>
      </c>
      <c r="N73" s="1" t="n">
        <v>1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155</v>
      </c>
      <c r="T73" s="1" t="n">
        <v>2</v>
      </c>
    </row>
    <row r="74" customFormat="false" ht="15" hidden="false" customHeight="false" outlineLevel="0" collapsed="false">
      <c r="A74" s="6" t="n">
        <v>45756</v>
      </c>
      <c r="B74" s="6" t="str">
        <f aca="false">CONCATENATE("S",_xlfn.ISOWEEKNUM(A74),"_",IF(AND(MONTH(A74)=12,_xlfn.ISOWEEKNUM(A74)=1),YEAR(A74)+1,IF(AND(MONTH(A74)=1,_xlfn.ISOWEEKNUM(A74)&gt;50),YEAR(A74)-1,YEAR(A74))))</f>
        <v>S15_2025</v>
      </c>
      <c r="C74" s="7" t="n">
        <f aca="false">E74+G74+I74+K74+M74+O74+Q74+S74+U74+W74+Y74+AA74+AC74+AE74+AG74+AI74+AK74</f>
        <v>244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2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242</v>
      </c>
      <c r="T74" s="1" t="n">
        <v>13</v>
      </c>
    </row>
    <row r="75" customFormat="false" ht="15" hidden="false" customHeight="false" outlineLevel="0" collapsed="false">
      <c r="A75" s="6" t="n">
        <v>45757</v>
      </c>
      <c r="B75" s="6" t="str">
        <f aca="false">CONCATENATE("S",_xlfn.ISOWEEKNUM(A75),"_",IF(AND(MONTH(A75)=12,_xlfn.ISOWEEKNUM(A75)=1),YEAR(A75)+1,IF(AND(MONTH(A75)=1,_xlfn.ISOWEEKNUM(A75)&gt;50),YEAR(A75)-1,YEAR(A75))))</f>
        <v>S15_2025</v>
      </c>
      <c r="C75" s="7" t="n">
        <f aca="false">E75+G75+I75+K75+M75+O75+Q75+S75+U75+W75+Y75+AA75+AC75+AE75+AG75+AI75+AK75</f>
        <v>136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3</v>
      </c>
      <c r="P75" s="1" t="n">
        <v>0</v>
      </c>
      <c r="Q75" s="1" t="n">
        <v>0</v>
      </c>
      <c r="R75" s="1" t="n">
        <v>0</v>
      </c>
      <c r="S75" s="1" t="n">
        <v>132</v>
      </c>
      <c r="T75" s="1" t="n">
        <v>0</v>
      </c>
    </row>
    <row r="76" customFormat="false" ht="15" hidden="false" customHeight="false" outlineLevel="0" collapsed="false">
      <c r="A76" s="6" t="n">
        <v>45758</v>
      </c>
      <c r="B76" s="6" t="str">
        <f aca="false">CONCATENATE("S",_xlfn.ISOWEEKNUM(A76),"_",IF(AND(MONTH(A76)=12,_xlfn.ISOWEEKNUM(A76)=1),YEAR(A76)+1,IF(AND(MONTH(A76)=1,_xlfn.ISOWEEKNUM(A76)&gt;50),YEAR(A76)-1,YEAR(A76))))</f>
        <v>S15_2025</v>
      </c>
      <c r="C76" s="7" t="n">
        <f aca="false">E76+G76+I76+K76+M76+O76+Q76+S76+U76+W76+Y76+AA76+AC76+AE76+AG76+AI76+AK76</f>
        <v>116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5</v>
      </c>
      <c r="P76" s="1" t="n">
        <v>0</v>
      </c>
      <c r="Q76" s="1" t="n">
        <v>0</v>
      </c>
      <c r="R76" s="1" t="n">
        <v>0</v>
      </c>
      <c r="S76" s="1" t="n">
        <v>110</v>
      </c>
      <c r="T76" s="1" t="n">
        <v>6</v>
      </c>
    </row>
    <row r="77" customFormat="false" ht="15" hidden="false" customHeight="false" outlineLevel="0" collapsed="false">
      <c r="A77" s="6" t="n">
        <v>45759</v>
      </c>
      <c r="B77" s="6" t="str">
        <f aca="false">CONCATENATE("S",_xlfn.ISOWEEKNUM(A77),"_",IF(AND(MONTH(A77)=12,_xlfn.ISOWEEKNUM(A77)=1),YEAR(A77)+1,IF(AND(MONTH(A77)=1,_xlfn.ISOWEEKNUM(A77)&gt;50),YEAR(A77)-1,YEAR(A77))))</f>
        <v>S15_2025</v>
      </c>
      <c r="C77" s="7" t="n">
        <f aca="false">E77+G77+I77+K77+M77+O77+Q77+S77+U77+W77+Y77+AA77+AC77+AE77+AG77+AI77+AK77</f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</row>
    <row r="78" customFormat="false" ht="15" hidden="false" customHeight="false" outlineLevel="0" collapsed="false">
      <c r="A78" s="6" t="n">
        <v>45760</v>
      </c>
      <c r="B78" s="6" t="str">
        <f aca="false">CONCATENATE("S",_xlfn.ISOWEEKNUM(A78),"_",IF(AND(MONTH(A78)=12,_xlfn.ISOWEEKNUM(A78)=1),YEAR(A78)+1,IF(AND(MONTH(A78)=1,_xlfn.ISOWEEKNUM(A78)&gt;50),YEAR(A78)-1,YEAR(A78))))</f>
        <v>S15_2025</v>
      </c>
      <c r="C78" s="7" t="n">
        <f aca="false">E78+G78+I78+K78+M78+O78+Q78+S78+U78+W78+Y78+AA78+AC78+AE78+AG78+AI78+AK78</f>
        <v>208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2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208</v>
      </c>
      <c r="T78" s="1" t="n">
        <v>24</v>
      </c>
    </row>
    <row r="79" customFormat="false" ht="15" hidden="false" customHeight="false" outlineLevel="0" collapsed="false">
      <c r="A79" s="6" t="n">
        <v>45761</v>
      </c>
      <c r="B79" s="6" t="str">
        <f aca="false">CONCATENATE("S",_xlfn.ISOWEEKNUM(A79),"_",IF(AND(MONTH(A79)=12,_xlfn.ISOWEEKNUM(A79)=1),YEAR(A79)+1,IF(AND(MONTH(A79)=1,_xlfn.ISOWEEKNUM(A79)&gt;50),YEAR(A79)-1,YEAR(A79))))</f>
        <v>S16_2025</v>
      </c>
      <c r="C79" s="7" t="n">
        <f aca="false">E79+G79+I79+K79+M79+O79+Q79+S79+U79+W79+Y79+AA79+AC79+AE79+AG79+AI79+AK79</f>
        <v>116</v>
      </c>
      <c r="D79" s="1" t="n">
        <v>0</v>
      </c>
      <c r="E79" s="1" t="n">
        <v>0</v>
      </c>
      <c r="F79" s="1" t="n">
        <v>7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5</v>
      </c>
      <c r="P79" s="1" t="n">
        <v>0</v>
      </c>
      <c r="Q79" s="1" t="n">
        <v>0</v>
      </c>
      <c r="R79" s="1" t="n">
        <v>0</v>
      </c>
      <c r="S79" s="1" t="n">
        <v>110</v>
      </c>
      <c r="T79" s="1" t="n">
        <v>6</v>
      </c>
    </row>
    <row r="80" customFormat="false" ht="15" hidden="false" customHeight="false" outlineLevel="0" collapsed="false">
      <c r="A80" s="6" t="n">
        <v>45762</v>
      </c>
      <c r="B80" s="6" t="str">
        <f aca="false">CONCATENATE("S",_xlfn.ISOWEEKNUM(A80),"_",IF(AND(MONTH(A80)=12,_xlfn.ISOWEEKNUM(A80)=1),YEAR(A80)+1,IF(AND(MONTH(A80)=1,_xlfn.ISOWEEKNUM(A80)&gt;50),YEAR(A80)-1,YEAR(A80))))</f>
        <v>S16_2025</v>
      </c>
      <c r="C80" s="7" t="n">
        <f aca="false">E80+G80+I80+K80+M80+O80+Q80+S80+U80+W80+Y80+AA80+AC80+AE80+AG80+AI80+AK80</f>
        <v>311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4</v>
      </c>
      <c r="L80" s="1" t="n">
        <v>0</v>
      </c>
      <c r="M80" s="1" t="n">
        <v>0</v>
      </c>
      <c r="N80" s="1" t="n">
        <v>0</v>
      </c>
      <c r="O80" s="1" t="n">
        <v>10</v>
      </c>
      <c r="P80" s="1" t="n">
        <v>0</v>
      </c>
      <c r="Q80" s="1" t="n">
        <v>0</v>
      </c>
      <c r="R80" s="1" t="n">
        <v>0</v>
      </c>
      <c r="S80" s="1" t="n">
        <v>297</v>
      </c>
      <c r="T80" s="1" t="n">
        <v>17</v>
      </c>
    </row>
    <row r="81" customFormat="false" ht="15" hidden="false" customHeight="false" outlineLevel="0" collapsed="false">
      <c r="A81" s="6" t="n">
        <v>45763</v>
      </c>
      <c r="B81" s="6" t="str">
        <f aca="false">CONCATENATE("S",_xlfn.ISOWEEKNUM(A81),"_",IF(AND(MONTH(A81)=12,_xlfn.ISOWEEKNUM(A81)=1),YEAR(A81)+1,IF(AND(MONTH(A81)=1,_xlfn.ISOWEEKNUM(A81)&gt;50),YEAR(A81)-1,YEAR(A81))))</f>
        <v>S16_2025</v>
      </c>
      <c r="C81" s="7" t="n">
        <f aca="false">E81+G81+I81+K81+M81+O81+Q81+S81+U81+W81+Y81+AA81+AC81+AE81+AG81+AI81+AK81</f>
        <v>297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1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296</v>
      </c>
      <c r="T81" s="1" t="n">
        <v>4</v>
      </c>
    </row>
    <row r="82" customFormat="false" ht="15" hidden="false" customHeight="false" outlineLevel="0" collapsed="false">
      <c r="A82" s="6" t="n">
        <v>45764</v>
      </c>
      <c r="B82" s="6" t="str">
        <f aca="false">CONCATENATE("S",_xlfn.ISOWEEKNUM(A82),"_",IF(AND(MONTH(A82)=12,_xlfn.ISOWEEKNUM(A82)=1),YEAR(A82)+1,IF(AND(MONTH(A82)=1,_xlfn.ISOWEEKNUM(A82)&gt;50),YEAR(A82)-1,YEAR(A82))))</f>
        <v>S16_2025</v>
      </c>
      <c r="C82" s="7" t="n">
        <f aca="false">E82+G82+I82+K82+M82+O82+Q82+S82+U82+W82+Y82+AA82+AC82+AE82+AG82+AI82+AK82</f>
        <v>122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4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1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120</v>
      </c>
      <c r="T82" s="1" t="n">
        <v>5</v>
      </c>
    </row>
    <row r="83" customFormat="false" ht="15" hidden="false" customHeight="false" outlineLevel="0" collapsed="false">
      <c r="A83" s="6" t="n">
        <v>45765</v>
      </c>
      <c r="B83" s="6" t="str">
        <f aca="false">CONCATENATE("S",_xlfn.ISOWEEKNUM(A83),"_",IF(AND(MONTH(A83)=12,_xlfn.ISOWEEKNUM(A83)=1),YEAR(A83)+1,IF(AND(MONTH(A83)=1,_xlfn.ISOWEEKNUM(A83)&gt;50),YEAR(A83)-1,YEAR(A83))))</f>
        <v>S16_2025</v>
      </c>
      <c r="C83" s="7" t="n">
        <f aca="false">E83+G83+I83+K83+M83+O83+Q83+S83+U83+W83+Y83+AA83+AC83+AE83+AG83+AI83+AK83</f>
        <v>350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1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2</v>
      </c>
      <c r="P83" s="1" t="n">
        <v>0</v>
      </c>
      <c r="Q83" s="1" t="n">
        <v>0</v>
      </c>
      <c r="R83" s="1" t="n">
        <v>0</v>
      </c>
      <c r="S83" s="1" t="n">
        <v>348</v>
      </c>
      <c r="T83" s="1" t="n">
        <v>5</v>
      </c>
    </row>
    <row r="84" customFormat="false" ht="15" hidden="false" customHeight="false" outlineLevel="0" collapsed="false">
      <c r="A84" s="6" t="n">
        <v>45766</v>
      </c>
      <c r="B84" s="6" t="str">
        <f aca="false">CONCATENATE("S",_xlfn.ISOWEEKNUM(A84),"_",IF(AND(MONTH(A84)=12,_xlfn.ISOWEEKNUM(A84)=1),YEAR(A84)+1,IF(AND(MONTH(A84)=1,_xlfn.ISOWEEKNUM(A84)&gt;50),YEAR(A84)-1,YEAR(A84))))</f>
        <v>S16_2025</v>
      </c>
      <c r="C84" s="7" t="n">
        <f aca="false">E84+G84+I84+K84+M84+O84+Q84+S84+U84+W84+Y84+AA84+AC84+AE84+AG84+AI84+AK84</f>
        <v>218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218</v>
      </c>
      <c r="T84" s="1" t="n">
        <v>18</v>
      </c>
    </row>
    <row r="85" customFormat="false" ht="15" hidden="false" customHeight="false" outlineLevel="0" collapsed="false">
      <c r="A85" s="6" t="n">
        <v>45767</v>
      </c>
      <c r="B85" s="6" t="str">
        <f aca="false">CONCATENATE("S",_xlfn.ISOWEEKNUM(A85),"_",IF(AND(MONTH(A85)=12,_xlfn.ISOWEEKNUM(A85)=1),YEAR(A85)+1,IF(AND(MONTH(A85)=1,_xlfn.ISOWEEKNUM(A85)&gt;50),YEAR(A85)-1,YEAR(A85))))</f>
        <v>S16_2025</v>
      </c>
      <c r="C85" s="7" t="n">
        <f aca="false">E85+G85+I85+K85+M85+O85+Q85+S85+U85+W85+Y85+AA85+AC85+AE85+AG85+AI85+AK85</f>
        <v>250</v>
      </c>
      <c r="D85" s="1" t="n">
        <v>0</v>
      </c>
      <c r="E85" s="1" t="n">
        <v>0</v>
      </c>
      <c r="F85" s="1" t="n">
        <v>0</v>
      </c>
      <c r="G85" s="1" t="n">
        <v>1</v>
      </c>
      <c r="H85" s="1" t="n">
        <v>0</v>
      </c>
      <c r="I85" s="1" t="n">
        <v>8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1</v>
      </c>
      <c r="O85" s="1" t="n">
        <v>1</v>
      </c>
      <c r="P85" s="1" t="n">
        <v>0</v>
      </c>
      <c r="Q85" s="1" t="n">
        <v>0</v>
      </c>
      <c r="R85" s="1" t="n">
        <v>0</v>
      </c>
      <c r="S85" s="1" t="n">
        <v>240</v>
      </c>
      <c r="T85" s="1" t="n">
        <v>6</v>
      </c>
    </row>
    <row r="86" customFormat="false" ht="15" hidden="false" customHeight="false" outlineLevel="0" collapsed="false">
      <c r="A86" s="6" t="n">
        <v>45768</v>
      </c>
      <c r="B86" s="6" t="str">
        <f aca="false">CONCATENATE("S",_xlfn.ISOWEEKNUM(A86),"_",IF(AND(MONTH(A86)=12,_xlfn.ISOWEEKNUM(A86)=1),YEAR(A86)+1,IF(AND(MONTH(A86)=1,_xlfn.ISOWEEKNUM(A86)&gt;50),YEAR(A86)-1,YEAR(A86))))</f>
        <v>S17_2025</v>
      </c>
      <c r="C86" s="7" t="n">
        <f aca="false">E86+G86+I86+K86+M86+O86+Q86+S86+U86+W86+Y86+AA86+AC86+AE86+AG86+AI86+AK86</f>
        <v>280</v>
      </c>
      <c r="D86" s="1" t="n">
        <v>0</v>
      </c>
      <c r="E86" s="1" t="n">
        <v>0</v>
      </c>
      <c r="F86" s="1" t="n">
        <v>1</v>
      </c>
      <c r="G86" s="1" t="n">
        <v>0</v>
      </c>
      <c r="H86" s="1" t="n">
        <v>12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6</v>
      </c>
      <c r="N86" s="1" t="n">
        <v>0</v>
      </c>
      <c r="O86" s="1" t="n">
        <v>4</v>
      </c>
      <c r="P86" s="1" t="n">
        <v>0</v>
      </c>
      <c r="Q86" s="1" t="n">
        <v>0</v>
      </c>
      <c r="R86" s="1" t="n">
        <v>0</v>
      </c>
      <c r="S86" s="1" t="n">
        <v>270</v>
      </c>
      <c r="T86" s="1" t="n">
        <v>7</v>
      </c>
    </row>
    <row r="87" customFormat="false" ht="15" hidden="false" customHeight="false" outlineLevel="0" collapsed="false">
      <c r="A87" s="6" t="n">
        <v>45769</v>
      </c>
      <c r="B87" s="6" t="str">
        <f aca="false">CONCATENATE("S",_xlfn.ISOWEEKNUM(A87),"_",IF(AND(MONTH(A87)=12,_xlfn.ISOWEEKNUM(A87)=1),YEAR(A87)+1,IF(AND(MONTH(A87)=1,_xlfn.ISOWEEKNUM(A87)&gt;50),YEAR(A87)-1,YEAR(A87))))</f>
        <v>S17_2025</v>
      </c>
      <c r="C87" s="7" t="n">
        <f aca="false">E87+G87+I87+K87+M87+O87+Q87+S87+U87+W87+Y87+AA87+AC87+AE87+AG87+AI87+AK87</f>
        <v>142</v>
      </c>
      <c r="D87" s="1" t="n">
        <v>0</v>
      </c>
      <c r="E87" s="1" t="n">
        <v>0</v>
      </c>
      <c r="F87" s="1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4</v>
      </c>
      <c r="N87" s="1" t="n">
        <v>4</v>
      </c>
      <c r="O87" s="1" t="n">
        <v>5</v>
      </c>
      <c r="P87" s="1" t="n">
        <v>0</v>
      </c>
      <c r="Q87" s="1" t="n">
        <v>0</v>
      </c>
      <c r="R87" s="1" t="n">
        <v>0</v>
      </c>
      <c r="S87" s="1" t="n">
        <v>133</v>
      </c>
      <c r="T87" s="1" t="n">
        <v>13</v>
      </c>
    </row>
    <row r="88" customFormat="false" ht="15" hidden="false" customHeight="false" outlineLevel="0" collapsed="false">
      <c r="A88" s="6" t="n">
        <v>45770</v>
      </c>
      <c r="B88" s="6" t="str">
        <f aca="false">CONCATENATE("S",_xlfn.ISOWEEKNUM(A88),"_",IF(AND(MONTH(A88)=12,_xlfn.ISOWEEKNUM(A88)=1),YEAR(A88)+1,IF(AND(MONTH(A88)=1,_xlfn.ISOWEEKNUM(A88)&gt;50),YEAR(A88)-1,YEAR(A88))))</f>
        <v>S17_2025</v>
      </c>
      <c r="C88" s="7" t="n">
        <f aca="false">E88+G88+I88+K88+M88+O88+Q88+S88+U88+W88+Y88+AA88+AC88+AE88+AG88+AI88+AK88</f>
        <v>118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8</v>
      </c>
      <c r="P88" s="1" t="n">
        <v>0</v>
      </c>
      <c r="Q88" s="1" t="n">
        <v>0</v>
      </c>
      <c r="R88" s="1" t="n">
        <v>0</v>
      </c>
      <c r="S88" s="1" t="n">
        <v>110</v>
      </c>
      <c r="T88" s="1" t="n">
        <v>2</v>
      </c>
    </row>
    <row r="89" customFormat="false" ht="15" hidden="false" customHeight="false" outlineLevel="0" collapsed="false">
      <c r="A89" s="6" t="n">
        <v>45771</v>
      </c>
      <c r="B89" s="6" t="str">
        <f aca="false">CONCATENATE("S",_xlfn.ISOWEEKNUM(A89),"_",IF(AND(MONTH(A89)=12,_xlfn.ISOWEEKNUM(A89)=1),YEAR(A89)+1,IF(AND(MONTH(A89)=1,_xlfn.ISOWEEKNUM(A89)&gt;50),YEAR(A89)-1,YEAR(A89))))</f>
        <v>S17_2025</v>
      </c>
      <c r="C89" s="7" t="n">
        <f aca="false">E89+G89+I89+K89+M89+O89+Q89+S89+U89+W89+Y89+AA89+AC89+AE89+AG89+AI89+AK89</f>
        <v>170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2</v>
      </c>
      <c r="N89" s="1" t="n">
        <v>11</v>
      </c>
      <c r="O89" s="1" t="n">
        <v>5</v>
      </c>
      <c r="P89" s="1" t="n">
        <v>0</v>
      </c>
      <c r="Q89" s="1" t="n">
        <v>0</v>
      </c>
      <c r="R89" s="1" t="n">
        <v>0</v>
      </c>
      <c r="S89" s="1" t="n">
        <v>163</v>
      </c>
      <c r="T89" s="1" t="n">
        <v>4</v>
      </c>
    </row>
    <row r="90" customFormat="false" ht="15" hidden="false" customHeight="false" outlineLevel="0" collapsed="false">
      <c r="A90" s="6" t="n">
        <v>45772</v>
      </c>
      <c r="B90" s="6" t="str">
        <f aca="false">CONCATENATE("S",_xlfn.ISOWEEKNUM(A90),"_",IF(AND(MONTH(A90)=12,_xlfn.ISOWEEKNUM(A90)=1),YEAR(A90)+1,IF(AND(MONTH(A90)=1,_xlfn.ISOWEEKNUM(A90)&gt;50),YEAR(A90)-1,YEAR(A90))))</f>
        <v>S17_2025</v>
      </c>
      <c r="C90" s="7" t="n">
        <f aca="false">E90+G90+I90+K90+M90+O90+Q90+S90+U90+W90+Y90+AA90+AC90+AE90+AG90+AI90+AK90</f>
        <v>117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2</v>
      </c>
      <c r="P90" s="1" t="n">
        <v>0</v>
      </c>
      <c r="Q90" s="1" t="n">
        <v>0</v>
      </c>
      <c r="R90" s="1" t="n">
        <v>0</v>
      </c>
      <c r="S90" s="1" t="n">
        <v>115</v>
      </c>
      <c r="T90" s="1" t="n">
        <v>12</v>
      </c>
    </row>
    <row r="91" customFormat="false" ht="15" hidden="false" customHeight="false" outlineLevel="0" collapsed="false">
      <c r="A91" s="6" t="n">
        <v>45773</v>
      </c>
      <c r="B91" s="6" t="str">
        <f aca="false">CONCATENATE("S",_xlfn.ISOWEEKNUM(A91),"_",IF(AND(MONTH(A91)=12,_xlfn.ISOWEEKNUM(A91)=1),YEAR(A91)+1,IF(AND(MONTH(A91)=1,_xlfn.ISOWEEKNUM(A91)&gt;50),YEAR(A91)-1,YEAR(A91))))</f>
        <v>S17_2025</v>
      </c>
      <c r="C91" s="7" t="n">
        <f aca="false">E91+G91+I91+K91+M91+O91+Q91+S91+U91+W91+Y91+AA91+AC91+AE91+AG91+AI91+AK91</f>
        <v>92</v>
      </c>
      <c r="D91" s="1" t="n">
        <v>0</v>
      </c>
      <c r="E91" s="1" t="n">
        <v>0</v>
      </c>
      <c r="F91" s="1" t="n">
        <v>2</v>
      </c>
      <c r="G91" s="1" t="n">
        <v>0</v>
      </c>
      <c r="H91" s="1" t="n">
        <v>4</v>
      </c>
      <c r="I91" s="1" t="n">
        <v>0</v>
      </c>
      <c r="J91" s="1" t="n">
        <v>0</v>
      </c>
      <c r="K91" s="1" t="n">
        <v>2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1</v>
      </c>
      <c r="S91" s="1" t="n">
        <v>90</v>
      </c>
      <c r="T91" s="1" t="n">
        <v>5</v>
      </c>
    </row>
    <row r="92" customFormat="false" ht="15" hidden="false" customHeight="false" outlineLevel="0" collapsed="false">
      <c r="A92" s="6" t="n">
        <v>45774</v>
      </c>
      <c r="B92" s="6" t="str">
        <f aca="false">CONCATENATE("S",_xlfn.ISOWEEKNUM(A92),"_",IF(AND(MONTH(A92)=12,_xlfn.ISOWEEKNUM(A92)=1),YEAR(A92)+1,IF(AND(MONTH(A92)=1,_xlfn.ISOWEEKNUM(A92)&gt;50),YEAR(A92)-1,YEAR(A92))))</f>
        <v>S17_2025</v>
      </c>
      <c r="C92" s="7" t="n">
        <f aca="false">E92+G92+I92+K92+M92+O92+Q92+S92+U92+W92+Y92+AA92+AC92+AE92+AG92+AI92+AK92</f>
        <v>140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4</v>
      </c>
      <c r="O92" s="1" t="n">
        <v>2</v>
      </c>
      <c r="P92" s="1" t="n">
        <v>0</v>
      </c>
      <c r="Q92" s="1" t="n">
        <v>0</v>
      </c>
      <c r="R92" s="1" t="n">
        <v>0</v>
      </c>
      <c r="S92" s="1" t="n">
        <v>138</v>
      </c>
      <c r="T92" s="1" t="n">
        <v>4</v>
      </c>
    </row>
    <row r="93" customFormat="false" ht="15" hidden="false" customHeight="false" outlineLevel="0" collapsed="false">
      <c r="A93" s="6" t="n">
        <v>45775</v>
      </c>
      <c r="B93" s="6" t="str">
        <f aca="false">CONCATENATE("S",_xlfn.ISOWEEKNUM(A93),"_",IF(AND(MONTH(A93)=12,_xlfn.ISOWEEKNUM(A93)=1),YEAR(A93)+1,IF(AND(MONTH(A93)=1,_xlfn.ISOWEEKNUM(A93)&gt;50),YEAR(A93)-1,YEAR(A93))))</f>
        <v>S18_2025</v>
      </c>
      <c r="C93" s="7" t="n">
        <f aca="false">E93+G93+I93+K93+M93+O93+Q93+S93+U93+W93+Y93+AA93+AC93+AE93+AG93+AI93+AK93</f>
        <v>107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1</v>
      </c>
      <c r="P93" s="1" t="n">
        <v>0</v>
      </c>
      <c r="Q93" s="1" t="n">
        <v>0</v>
      </c>
      <c r="R93" s="1" t="n">
        <v>1</v>
      </c>
      <c r="S93" s="1" t="n">
        <v>106</v>
      </c>
      <c r="T93" s="1" t="n">
        <v>10</v>
      </c>
    </row>
    <row r="94" customFormat="false" ht="15" hidden="false" customHeight="false" outlineLevel="0" collapsed="false">
      <c r="A94" s="6" t="n">
        <v>45776</v>
      </c>
      <c r="B94" s="6" t="str">
        <f aca="false">CONCATENATE("S",_xlfn.ISOWEEKNUM(A94),"_",IF(AND(MONTH(A94)=12,_xlfn.ISOWEEKNUM(A94)=1),YEAR(A94)+1,IF(AND(MONTH(A94)=1,_xlfn.ISOWEEKNUM(A94)&gt;50),YEAR(A94)-1,YEAR(A94))))</f>
        <v>S18_2025</v>
      </c>
      <c r="C94" s="7" t="n">
        <f aca="false">E94+G94+I94+K94+M94+O94+Q94+S94+U94+W94+Y94+AA94+AC94+AE94+AG94+AI94+AK94</f>
        <v>177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2</v>
      </c>
      <c r="N94" s="1" t="n">
        <v>0</v>
      </c>
      <c r="O94" s="1" t="n">
        <v>6</v>
      </c>
      <c r="P94" s="1" t="n">
        <v>0</v>
      </c>
      <c r="Q94" s="1" t="n">
        <v>0</v>
      </c>
      <c r="R94" s="1" t="n">
        <v>1</v>
      </c>
      <c r="S94" s="1" t="n">
        <v>169</v>
      </c>
      <c r="T94" s="1" t="n">
        <v>1</v>
      </c>
    </row>
    <row r="95" customFormat="false" ht="15" hidden="false" customHeight="false" outlineLevel="0" collapsed="false">
      <c r="A95" s="6" t="n">
        <v>45777</v>
      </c>
      <c r="B95" s="6" t="str">
        <f aca="false">CONCATENATE("S",_xlfn.ISOWEEKNUM(A95),"_",IF(AND(MONTH(A95)=12,_xlfn.ISOWEEKNUM(A95)=1),YEAR(A95)+1,IF(AND(MONTH(A95)=1,_xlfn.ISOWEEKNUM(A95)&gt;50),YEAR(A95)-1,YEAR(A95))))</f>
        <v>S18_2025</v>
      </c>
      <c r="C95" s="7" t="n">
        <f aca="false">E95+G95+I95+K95+M95+O95+Q95+S95+U95+W95+Y95+AA95+AC95+AE95+AG95+AI95+AK95</f>
        <v>150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150</v>
      </c>
      <c r="T95" s="1" t="n">
        <v>5</v>
      </c>
    </row>
    <row r="96" customFormat="false" ht="15" hidden="false" customHeight="false" outlineLevel="0" collapsed="false">
      <c r="A96" s="6" t="n">
        <v>45778</v>
      </c>
      <c r="B96" s="6" t="str">
        <f aca="false">CONCATENATE("S",_xlfn.ISOWEEKNUM(A96),"_",IF(AND(MONTH(A96)=12,_xlfn.ISOWEEKNUM(A96)=1),YEAR(A96)+1,IF(AND(MONTH(A96)=1,_xlfn.ISOWEEKNUM(A96)&gt;50),YEAR(A96)-1,YEAR(A96))))</f>
        <v>S18_2025</v>
      </c>
      <c r="C96" s="7" t="n">
        <f aca="false">E96+G96+I96+K96+M96+O96+Q96+S96+U96+W96+Y96+AA96+AC96+AE96+AG96+AI96+AK96</f>
        <v>210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2</v>
      </c>
      <c r="K96" s="1" t="n">
        <v>0</v>
      </c>
      <c r="L96" s="1" t="n">
        <v>0</v>
      </c>
      <c r="M96" s="1" t="n">
        <v>1</v>
      </c>
      <c r="N96" s="1" t="n">
        <v>2</v>
      </c>
      <c r="O96" s="1" t="n">
        <v>4</v>
      </c>
      <c r="P96" s="1" t="n">
        <v>0</v>
      </c>
      <c r="Q96" s="1" t="n">
        <v>0</v>
      </c>
      <c r="R96" s="1" t="n">
        <v>0</v>
      </c>
      <c r="S96" s="1" t="n">
        <v>205</v>
      </c>
      <c r="T96" s="1" t="n">
        <v>1</v>
      </c>
    </row>
    <row r="97" customFormat="false" ht="15" hidden="false" customHeight="false" outlineLevel="0" collapsed="false">
      <c r="A97" s="6" t="n">
        <v>45779</v>
      </c>
      <c r="B97" s="6" t="str">
        <f aca="false">CONCATENATE("S",_xlfn.ISOWEEKNUM(A97),"_",IF(AND(MONTH(A97)=12,_xlfn.ISOWEEKNUM(A97)=1),YEAR(A97)+1,IF(AND(MONTH(A97)=1,_xlfn.ISOWEEKNUM(A97)&gt;50),YEAR(A97)-1,YEAR(A97))))</f>
        <v>S18_2025</v>
      </c>
      <c r="C97" s="7" t="n">
        <f aca="false">E97+G97+I97+K97+M97+O97+Q97+S97+U97+W97+Y97+AA97+AC97+AE97+AG97+AI97+AK97</f>
        <v>160</v>
      </c>
      <c r="D97" s="1" t="n">
        <v>0</v>
      </c>
      <c r="E97" s="1" t="n">
        <v>0</v>
      </c>
      <c r="F97" s="1" t="n">
        <v>0</v>
      </c>
      <c r="G97" s="1" t="n">
        <v>2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3</v>
      </c>
      <c r="P97" s="1" t="n">
        <v>0</v>
      </c>
      <c r="Q97" s="1" t="n">
        <v>0</v>
      </c>
      <c r="R97" s="1" t="n">
        <v>0</v>
      </c>
      <c r="S97" s="1" t="n">
        <v>155</v>
      </c>
      <c r="T97" s="1" t="n">
        <v>3</v>
      </c>
    </row>
    <row r="98" customFormat="false" ht="15" hidden="false" customHeight="false" outlineLevel="0" collapsed="false">
      <c r="A98" s="6" t="n">
        <v>45780</v>
      </c>
      <c r="B98" s="6" t="str">
        <f aca="false">CONCATENATE("S",_xlfn.ISOWEEKNUM(A98),"_",IF(AND(MONTH(A98)=12,_xlfn.ISOWEEKNUM(A98)=1),YEAR(A98)+1,IF(AND(MONTH(A98)=1,_xlfn.ISOWEEKNUM(A98)&gt;50),YEAR(A98)-1,YEAR(A98))))</f>
        <v>S18_2025</v>
      </c>
      <c r="C98" s="7" t="n">
        <f aca="false">E98+G98+I98+K98+M98+O98+Q98+S98+U98+W98+Y98+AA98+AC98+AE98+AG98+AI98+AK98</f>
        <v>252</v>
      </c>
      <c r="D98" s="1" t="n">
        <v>0</v>
      </c>
      <c r="E98" s="1" t="n">
        <v>0</v>
      </c>
      <c r="F98" s="1" t="n">
        <v>2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2</v>
      </c>
      <c r="N98" s="1" t="n">
        <v>0</v>
      </c>
      <c r="O98" s="1" t="n">
        <v>3</v>
      </c>
      <c r="P98" s="1" t="n">
        <v>0</v>
      </c>
      <c r="Q98" s="1" t="n">
        <v>0</v>
      </c>
      <c r="R98" s="1" t="n">
        <v>0</v>
      </c>
      <c r="S98" s="1" t="n">
        <v>246</v>
      </c>
      <c r="T98" s="1" t="n">
        <v>10</v>
      </c>
    </row>
    <row r="99" customFormat="false" ht="15" hidden="false" customHeight="false" outlineLevel="0" collapsed="false">
      <c r="A99" s="6" t="n">
        <v>45781</v>
      </c>
      <c r="B99" s="6" t="str">
        <f aca="false">CONCATENATE("S",_xlfn.ISOWEEKNUM(A99),"_",IF(AND(MONTH(A99)=12,_xlfn.ISOWEEKNUM(A99)=1),YEAR(A99)+1,IF(AND(MONTH(A99)=1,_xlfn.ISOWEEKNUM(A99)&gt;50),YEAR(A99)-1,YEAR(A99))))</f>
        <v>S18_2025</v>
      </c>
      <c r="C99" s="7" t="n">
        <f aca="false">E99+G99+I99+K99+M99+O99+Q99+S99+U99+W99+Y99+AA99+AC99+AE99+AG99+AI99+AK99</f>
        <v>104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5</v>
      </c>
      <c r="K99" s="1" t="n">
        <v>5</v>
      </c>
      <c r="L99" s="1" t="n">
        <v>3</v>
      </c>
      <c r="M99" s="1" t="n">
        <v>0</v>
      </c>
      <c r="N99" s="1" t="n">
        <v>0</v>
      </c>
      <c r="O99" s="1" t="n">
        <v>2</v>
      </c>
      <c r="P99" s="1" t="n">
        <v>0</v>
      </c>
      <c r="Q99" s="1" t="n">
        <v>0</v>
      </c>
      <c r="R99" s="1" t="n">
        <v>0</v>
      </c>
      <c r="S99" s="1" t="n">
        <v>97</v>
      </c>
      <c r="T99" s="1" t="n">
        <v>3</v>
      </c>
    </row>
    <row r="100" customFormat="false" ht="15" hidden="false" customHeight="false" outlineLevel="0" collapsed="false">
      <c r="A100" s="6" t="n">
        <v>45782</v>
      </c>
      <c r="B100" s="6" t="str">
        <f aca="false">CONCATENATE("S",_xlfn.ISOWEEKNUM(A100),"_",IF(AND(MONTH(A100)=12,_xlfn.ISOWEEKNUM(A100)=1),YEAR(A100)+1,IF(AND(MONTH(A100)=1,_xlfn.ISOWEEKNUM(A100)&gt;50),YEAR(A100)-1,YEAR(A100))))</f>
        <v>S19_2025</v>
      </c>
      <c r="C100" s="7" t="n">
        <f aca="false">E100+G100+I100+K100+M100+O100+Q100+S100+U100+W100+Y100+AA100+AC100+AE100+AG100+AI100+AK100</f>
        <v>147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1</v>
      </c>
      <c r="N100" s="1" t="n">
        <v>3</v>
      </c>
      <c r="O100" s="1" t="n">
        <v>4</v>
      </c>
      <c r="P100" s="1" t="n">
        <v>0</v>
      </c>
      <c r="Q100" s="1" t="n">
        <v>0</v>
      </c>
      <c r="R100" s="1" t="n">
        <v>0</v>
      </c>
      <c r="S100" s="1" t="n">
        <v>140</v>
      </c>
      <c r="T100" s="1" t="n">
        <v>6</v>
      </c>
    </row>
    <row r="101" customFormat="false" ht="15" hidden="false" customHeight="false" outlineLevel="0" collapsed="false">
      <c r="A101" s="6" t="n">
        <v>45783</v>
      </c>
      <c r="B101" s="6" t="str">
        <f aca="false">CONCATENATE("S",_xlfn.ISOWEEKNUM(A101),"_",IF(AND(MONTH(A101)=12,_xlfn.ISOWEEKNUM(A101)=1),YEAR(A101)+1,IF(AND(MONTH(A101)=1,_xlfn.ISOWEEKNUM(A101)&gt;50),YEAR(A101)-1,YEAR(A101))))</f>
        <v>S19_2025</v>
      </c>
      <c r="C101" s="7" t="n">
        <f aca="false">E101+G101+I101+K101+M101+O101+Q101+S101+U101+W101+Y101+AA101+AC101+AE101+AG101+AI101+AK101</f>
        <v>151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3</v>
      </c>
      <c r="M101" s="1" t="n">
        <v>0</v>
      </c>
      <c r="N101" s="1" t="n">
        <v>0</v>
      </c>
      <c r="O101" s="1" t="n">
        <v>4</v>
      </c>
      <c r="P101" s="1" t="n">
        <v>0</v>
      </c>
      <c r="Q101" s="1" t="n">
        <v>0</v>
      </c>
      <c r="R101" s="1" t="n">
        <v>0</v>
      </c>
      <c r="S101" s="1" t="n">
        <v>147</v>
      </c>
      <c r="T101" s="1" t="n">
        <v>6</v>
      </c>
    </row>
    <row r="102" customFormat="false" ht="15" hidden="false" customHeight="false" outlineLevel="0" collapsed="false">
      <c r="A102" s="6" t="n">
        <v>45784</v>
      </c>
      <c r="B102" s="6" t="str">
        <f aca="false">CONCATENATE("S",_xlfn.ISOWEEKNUM(A102),"_",IF(AND(MONTH(A102)=12,_xlfn.ISOWEEKNUM(A102)=1),YEAR(A102)+1,IF(AND(MONTH(A102)=1,_xlfn.ISOWEEKNUM(A102)&gt;50),YEAR(A102)-1,YEAR(A102))))</f>
        <v>S19_2025</v>
      </c>
      <c r="C102" s="7" t="n">
        <f aca="false">E102+G102+I102+K102+M102+O102+Q102+S102+U102+W102+Y102+AA102+AC102+AE102+AG102+AI102+AK102</f>
        <v>266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0</v>
      </c>
      <c r="L102" s="1" t="n">
        <v>1</v>
      </c>
      <c r="M102" s="1" t="n">
        <v>1</v>
      </c>
      <c r="N102" s="1" t="n">
        <v>5</v>
      </c>
      <c r="O102" s="1" t="n">
        <v>2</v>
      </c>
      <c r="P102" s="1" t="n">
        <v>0</v>
      </c>
      <c r="Q102" s="1" t="n">
        <v>0</v>
      </c>
      <c r="R102" s="1" t="n">
        <v>0</v>
      </c>
      <c r="S102" s="1" t="n">
        <v>263</v>
      </c>
      <c r="T102" s="1" t="n">
        <v>15</v>
      </c>
    </row>
    <row r="103" customFormat="false" ht="15" hidden="false" customHeight="false" outlineLevel="0" collapsed="false">
      <c r="A103" s="6" t="n">
        <v>45785</v>
      </c>
      <c r="B103" s="6" t="str">
        <f aca="false">CONCATENATE("S",_xlfn.ISOWEEKNUM(A103),"_",IF(AND(MONTH(A103)=12,_xlfn.ISOWEEKNUM(A103)=1),YEAR(A103)+1,IF(AND(MONTH(A103)=1,_xlfn.ISOWEEKNUM(A103)&gt;50),YEAR(A103)-1,YEAR(A103))))</f>
        <v>S19_2025</v>
      </c>
      <c r="C103" s="7" t="n">
        <f aca="false">E103+G103+I103+K103+M103+O103+Q103+S103+U103+W103+Y103+AA103+AC103+AE103+AG103+AI103+AK103</f>
        <v>116</v>
      </c>
      <c r="D103" s="1" t="n">
        <v>0</v>
      </c>
      <c r="E103" s="1" t="n">
        <v>0</v>
      </c>
      <c r="F103" s="1" t="n">
        <v>1</v>
      </c>
      <c r="G103" s="1" t="n">
        <v>0</v>
      </c>
      <c r="H103" s="1" t="n">
        <v>0</v>
      </c>
      <c r="M103" s="1" t="n">
        <v>2</v>
      </c>
      <c r="R103" s="1" t="n">
        <v>0</v>
      </c>
      <c r="S103" s="1" t="n">
        <v>114</v>
      </c>
      <c r="T103" s="1" t="n">
        <v>2</v>
      </c>
    </row>
    <row r="104" customFormat="false" ht="15" hidden="false" customHeight="false" outlineLevel="0" collapsed="false">
      <c r="A104" s="6" t="n">
        <v>45786</v>
      </c>
      <c r="B104" s="6" t="str">
        <f aca="false">CONCATENATE("S",_xlfn.ISOWEEKNUM(A104),"_",IF(AND(MONTH(A104)=12,_xlfn.ISOWEEKNUM(A104)=1),YEAR(A104)+1,IF(AND(MONTH(A104)=1,_xlfn.ISOWEEKNUM(A104)&gt;50),YEAR(A104)-1,YEAR(A104))))</f>
        <v>S19_2025</v>
      </c>
      <c r="C104" s="7" t="n">
        <f aca="false">E104+G104+I104+K104+M104+O104+Q104+S104+U104+W104+Y104+AA104+AC104+AE104+AG104+AI104+AK104</f>
        <v>142</v>
      </c>
      <c r="D104" s="1" t="n">
        <v>0</v>
      </c>
      <c r="E104" s="1" t="n">
        <v>0</v>
      </c>
      <c r="F104" s="1" t="n">
        <v>2</v>
      </c>
      <c r="G104" s="1" t="n">
        <v>0</v>
      </c>
      <c r="H104" s="1" t="n">
        <v>0</v>
      </c>
      <c r="I104" s="1" t="n">
        <v>2</v>
      </c>
      <c r="O104" s="1" t="n">
        <v>3</v>
      </c>
      <c r="P104" s="1" t="n">
        <v>1</v>
      </c>
      <c r="Q104" s="1" t="n">
        <v>6</v>
      </c>
      <c r="R104" s="1" t="n">
        <v>0</v>
      </c>
      <c r="S104" s="1" t="n">
        <v>131</v>
      </c>
      <c r="T104" s="1" t="n">
        <v>11</v>
      </c>
    </row>
    <row r="105" customFormat="false" ht="15" hidden="false" customHeight="false" outlineLevel="0" collapsed="false">
      <c r="A105" s="6" t="n">
        <v>45787</v>
      </c>
      <c r="B105" s="6" t="str">
        <f aca="false">CONCATENATE("S",_xlfn.ISOWEEKNUM(A105),"_",IF(AND(MONTH(A105)=12,_xlfn.ISOWEEKNUM(A105)=1),YEAR(A105)+1,IF(AND(MONTH(A105)=1,_xlfn.ISOWEEKNUM(A105)&gt;50),YEAR(A105)-1,YEAR(A105))))</f>
        <v>S19_2025</v>
      </c>
      <c r="C105" s="7" t="n">
        <f aca="false">E105+G105+I105+K105+M105+O105+Q105+S105+U105+W105+Y105+AA105+AC105+AE105+AG105+AI105+AK105</f>
        <v>129</v>
      </c>
      <c r="D105" s="1" t="n">
        <v>0</v>
      </c>
      <c r="E105" s="1" t="n">
        <v>0</v>
      </c>
      <c r="F105" s="1" t="n">
        <v>1</v>
      </c>
      <c r="G105" s="1" t="n">
        <v>0</v>
      </c>
      <c r="H105" s="1" t="n">
        <v>0</v>
      </c>
      <c r="J105" s="1" t="n">
        <v>1</v>
      </c>
      <c r="K105" s="1" t="n">
        <v>2</v>
      </c>
      <c r="L105" s="1" t="n">
        <v>0</v>
      </c>
      <c r="M105" s="1" t="n">
        <v>0</v>
      </c>
      <c r="N105" s="1" t="n">
        <v>5</v>
      </c>
      <c r="O105" s="1" t="n">
        <v>3</v>
      </c>
      <c r="P105" s="1" t="n">
        <v>0</v>
      </c>
      <c r="Q105" s="1" t="n">
        <v>0</v>
      </c>
      <c r="R105" s="1" t="n">
        <v>0</v>
      </c>
      <c r="S105" s="1" t="n">
        <v>124</v>
      </c>
      <c r="T105" s="1" t="n">
        <v>10</v>
      </c>
    </row>
    <row r="106" customFormat="false" ht="15" hidden="false" customHeight="false" outlineLevel="0" collapsed="false">
      <c r="A106" s="6" t="n">
        <v>45788</v>
      </c>
      <c r="B106" s="6" t="str">
        <f aca="false">CONCATENATE("S",_xlfn.ISOWEEKNUM(A106),"_",IF(AND(MONTH(A106)=12,_xlfn.ISOWEEKNUM(A106)=1),YEAR(A106)+1,IF(AND(MONTH(A106)=1,_xlfn.ISOWEEKNUM(A106)&gt;50),YEAR(A106)-1,YEAR(A106))))</f>
        <v>S19_2025</v>
      </c>
      <c r="C106" s="7" t="n">
        <f aca="false">E106+G106+I106+K106+M106+O106+Q106+S106+U106+W106+Y106+AA106+AC106+AE106+AG106+AI106+AK106</f>
        <v>217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2</v>
      </c>
      <c r="J106" s="1" t="n">
        <v>1</v>
      </c>
      <c r="K106" s="1" t="n">
        <v>0</v>
      </c>
      <c r="L106" s="1" t="n">
        <v>0</v>
      </c>
      <c r="M106" s="1" t="n">
        <v>3</v>
      </c>
      <c r="N106" s="1" t="n">
        <v>0</v>
      </c>
      <c r="O106" s="1" t="n">
        <v>2</v>
      </c>
      <c r="P106" s="1" t="n">
        <v>0</v>
      </c>
      <c r="Q106" s="1" t="n">
        <v>0</v>
      </c>
      <c r="R106" s="1" t="n">
        <v>0</v>
      </c>
      <c r="S106" s="1" t="n">
        <v>210</v>
      </c>
      <c r="T106" s="1" t="n">
        <v>6</v>
      </c>
    </row>
    <row r="107" customFormat="false" ht="15" hidden="false" customHeight="false" outlineLevel="0" collapsed="false">
      <c r="A107" s="6" t="n">
        <v>45789</v>
      </c>
      <c r="B107" s="6" t="str">
        <f aca="false">CONCATENATE("S",_xlfn.ISOWEEKNUM(A107),"_",IF(AND(MONTH(A107)=12,_xlfn.ISOWEEKNUM(A107)=1),YEAR(A107)+1,IF(AND(MONTH(A107)=1,_xlfn.ISOWEEKNUM(A107)&gt;50),YEAR(A107)-1,YEAR(A107))))</f>
        <v>S20_2025</v>
      </c>
      <c r="C107" s="7" t="n">
        <f aca="false">E107+G107+I107+K107+M107+O107+Q107+S107+U107+W107+Y107+AA107+AC107+AE107+AG107+AI107+AK107</f>
        <v>140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2</v>
      </c>
      <c r="L107" s="1" t="n">
        <v>0</v>
      </c>
      <c r="M107" s="1" t="n">
        <v>2</v>
      </c>
      <c r="N107" s="1" t="n">
        <v>3</v>
      </c>
      <c r="O107" s="1" t="n">
        <v>2</v>
      </c>
      <c r="P107" s="1" t="n">
        <v>0</v>
      </c>
      <c r="Q107" s="1" t="n">
        <v>0</v>
      </c>
      <c r="R107" s="1" t="n">
        <v>0</v>
      </c>
      <c r="S107" s="1" t="n">
        <v>134</v>
      </c>
      <c r="T107" s="1" t="n">
        <v>14</v>
      </c>
    </row>
    <row r="108" customFormat="false" ht="15" hidden="false" customHeight="false" outlineLevel="0" collapsed="false">
      <c r="A108" s="6" t="n">
        <v>45790</v>
      </c>
      <c r="B108" s="6" t="str">
        <f aca="false">CONCATENATE("S",_xlfn.ISOWEEKNUM(A108),"_",IF(AND(MONTH(A108)=12,_xlfn.ISOWEEKNUM(A108)=1),YEAR(A108)+1,IF(AND(MONTH(A108)=1,_xlfn.ISOWEEKNUM(A108)&gt;50),YEAR(A108)-1,YEAR(A108))))</f>
        <v>S20_2025</v>
      </c>
      <c r="C108" s="7" t="n">
        <f aca="false">E108+G108+I108+K108+M108+O108+Q108+S108+U108+W108+Y108+AA108+AC108+AE108+AG108+AI108+AK108</f>
        <v>190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1</v>
      </c>
      <c r="J108" s="1" t="n">
        <v>0</v>
      </c>
      <c r="K108" s="1" t="n">
        <v>0</v>
      </c>
      <c r="L108" s="1" t="n">
        <v>1</v>
      </c>
      <c r="M108" s="1" t="n">
        <v>0</v>
      </c>
      <c r="N108" s="1" t="n">
        <v>2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189</v>
      </c>
      <c r="T108" s="1" t="n">
        <v>6</v>
      </c>
    </row>
    <row r="109" customFormat="false" ht="15" hidden="false" customHeight="false" outlineLevel="0" collapsed="false">
      <c r="A109" s="6" t="n">
        <v>45791</v>
      </c>
      <c r="B109" s="6" t="str">
        <f aca="false">CONCATENATE("S",_xlfn.ISOWEEKNUM(A109),"_",IF(AND(MONTH(A109)=12,_xlfn.ISOWEEKNUM(A109)=1),YEAR(A109)+1,IF(AND(MONTH(A109)=1,_xlfn.ISOWEEKNUM(A109)&gt;50),YEAR(A109)-1,YEAR(A109))))</f>
        <v>S20_2025</v>
      </c>
      <c r="C109" s="7" t="n">
        <f aca="false">E109+G109+I109+K109+M109+O109+Q109+S109+U109+W109+Y109+AA109+AC109+AE109+AG109+AI109+AK109</f>
        <v>131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131</v>
      </c>
      <c r="T109" s="1" t="n">
        <v>0</v>
      </c>
    </row>
    <row r="110" customFormat="false" ht="15" hidden="false" customHeight="false" outlineLevel="0" collapsed="false">
      <c r="A110" s="6" t="n">
        <v>45792</v>
      </c>
      <c r="B110" s="6" t="str">
        <f aca="false">CONCATENATE("S",_xlfn.ISOWEEKNUM(A110),"_",IF(AND(MONTH(A110)=12,_xlfn.ISOWEEKNUM(A110)=1),YEAR(A110)+1,IF(AND(MONTH(A110)=1,_xlfn.ISOWEEKNUM(A110)&gt;50),YEAR(A110)-1,YEAR(A110))))</f>
        <v>S20_2025</v>
      </c>
      <c r="C110" s="7" t="n">
        <f aca="false">E110+G110+I110+K110+M110+O110+Q110+S110+U110+W110+Y110+AA110+AC110+AE110+AG110+AI110+AK110</f>
        <v>101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101</v>
      </c>
      <c r="T110" s="1" t="n">
        <v>22</v>
      </c>
    </row>
    <row r="111" customFormat="false" ht="15" hidden="false" customHeight="false" outlineLevel="0" collapsed="false">
      <c r="A111" s="6" t="n">
        <v>45793</v>
      </c>
      <c r="B111" s="6" t="str">
        <f aca="false">CONCATENATE("S",_xlfn.ISOWEEKNUM(A111),"_",IF(AND(MONTH(A111)=12,_xlfn.ISOWEEKNUM(A111)=1),YEAR(A111)+1,IF(AND(MONTH(A111)=1,_xlfn.ISOWEEKNUM(A111)&gt;50),YEAR(A111)-1,YEAR(A111))))</f>
        <v>S20_2025</v>
      </c>
      <c r="C111" s="7" t="n">
        <f aca="false">E111+G111+I111+K111+M111+O111+Q111+S111+U111+W111+Y111+AA111+AC111+AE111+AG111+AI111+AK111</f>
        <v>90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90</v>
      </c>
      <c r="T111" s="1" t="n">
        <v>6</v>
      </c>
    </row>
    <row r="112" customFormat="false" ht="15" hidden="false" customHeight="false" outlineLevel="0" collapsed="false">
      <c r="A112" s="6" t="n">
        <v>45794</v>
      </c>
      <c r="B112" s="6" t="str">
        <f aca="false">CONCATENATE("S",_xlfn.ISOWEEKNUM(A112),"_",IF(AND(MONTH(A112)=12,_xlfn.ISOWEEKNUM(A112)=1),YEAR(A112)+1,IF(AND(MONTH(A112)=1,_xlfn.ISOWEEKNUM(A112)&gt;50),YEAR(A112)-1,YEAR(A112))))</f>
        <v>S20_2025</v>
      </c>
      <c r="C112" s="7" t="n">
        <f aca="false">E112+G112+I112+K112+M112+O112+Q112+S112+U112+W112+Y112+AA112+AC112+AE112+AG112+AI112+AK112</f>
        <v>96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96</v>
      </c>
      <c r="T112" s="1" t="n">
        <v>2</v>
      </c>
    </row>
    <row r="113" customFormat="false" ht="15" hidden="false" customHeight="false" outlineLevel="0" collapsed="false">
      <c r="A113" s="6" t="n">
        <v>45795</v>
      </c>
      <c r="B113" s="6" t="str">
        <f aca="false">CONCATENATE("S",_xlfn.ISOWEEKNUM(A113),"_",IF(AND(MONTH(A113)=12,_xlfn.ISOWEEKNUM(A113)=1),YEAR(A113)+1,IF(AND(MONTH(A113)=1,_xlfn.ISOWEEKNUM(A113)&gt;50),YEAR(A113)-1,YEAR(A113))))</f>
        <v>S20_2025</v>
      </c>
      <c r="C113" s="7" t="n">
        <f aca="false">E113+G113+I113+K113+M113+O113+Q113+S113+U113+W113+Y113+AA113+AC113+AE113+AG113+AI113+AK113</f>
        <v>96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1</v>
      </c>
      <c r="P113" s="1" t="n">
        <v>0</v>
      </c>
      <c r="Q113" s="1" t="n">
        <v>0</v>
      </c>
      <c r="R113" s="1" t="n">
        <v>0</v>
      </c>
      <c r="S113" s="1" t="n">
        <v>95</v>
      </c>
      <c r="T113" s="1" t="n">
        <v>1</v>
      </c>
    </row>
    <row r="114" customFormat="false" ht="15" hidden="false" customHeight="false" outlineLevel="0" collapsed="false">
      <c r="A114" s="6" t="n">
        <v>45796</v>
      </c>
      <c r="B114" s="6" t="str">
        <f aca="false">CONCATENATE("S",_xlfn.ISOWEEKNUM(A114),"_",IF(AND(MONTH(A114)=12,_xlfn.ISOWEEKNUM(A114)=1),YEAR(A114)+1,IF(AND(MONTH(A114)=1,_xlfn.ISOWEEKNUM(A114)&gt;50),YEAR(A114)-1,YEAR(A114))))</f>
        <v>S21_2025</v>
      </c>
      <c r="C114" s="7" t="n">
        <f aca="false">E114+G114+I114+K114+M114+O114+Q114+S114+U114+W114+Y114+AA114+AC114+AE114+AG114+AI114+AK114</f>
        <v>149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149</v>
      </c>
      <c r="T114" s="1" t="n">
        <v>0</v>
      </c>
    </row>
    <row r="115" customFormat="false" ht="15" hidden="false" customHeight="false" outlineLevel="0" collapsed="false">
      <c r="A115" s="6" t="n">
        <v>45797</v>
      </c>
      <c r="B115" s="6" t="str">
        <f aca="false">CONCATENATE("S",_xlfn.ISOWEEKNUM(A115),"_",IF(AND(MONTH(A115)=12,_xlfn.ISOWEEKNUM(A115)=1),YEAR(A115)+1,IF(AND(MONTH(A115)=1,_xlfn.ISOWEEKNUM(A115)&gt;50),YEAR(A115)-1,YEAR(A115))))</f>
        <v>S21_2025</v>
      </c>
      <c r="C115" s="7" t="n">
        <f aca="false">E115+G115+I115+K115+M115+O115+Q115+S115+U115+W115+Y115+AA115+AC115+AE115+AG115+AI115+AK115</f>
        <v>96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2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94</v>
      </c>
      <c r="T115" s="1" t="n">
        <v>2</v>
      </c>
    </row>
    <row r="116" customFormat="false" ht="15" hidden="false" customHeight="false" outlineLevel="0" collapsed="false">
      <c r="A116" s="6" t="n">
        <v>45798</v>
      </c>
      <c r="B116" s="6" t="str">
        <f aca="false">CONCATENATE("S",_xlfn.ISOWEEKNUM(A116),"_",IF(AND(MONTH(A116)=12,_xlfn.ISOWEEKNUM(A116)=1),YEAR(A116)+1,IF(AND(MONTH(A116)=1,_xlfn.ISOWEEKNUM(A116)&gt;50),YEAR(A116)-1,YEAR(A116))))</f>
        <v>S21_2025</v>
      </c>
      <c r="C116" s="7" t="n">
        <f aca="false">E116+G116+I116+K116+M116+O116+Q116+S116+U116+W116+Y116+AA116+AC116+AE116+AG116+AI116+AK116</f>
        <v>186</v>
      </c>
      <c r="D116" s="1" t="n">
        <v>0</v>
      </c>
      <c r="E116" s="1" t="n">
        <v>0</v>
      </c>
      <c r="F116" s="1" t="n">
        <v>2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2</v>
      </c>
      <c r="O116" s="1" t="n">
        <v>3</v>
      </c>
      <c r="P116" s="1" t="n">
        <v>0</v>
      </c>
      <c r="Q116" s="1" t="n">
        <v>0</v>
      </c>
      <c r="R116" s="1" t="n">
        <v>0</v>
      </c>
      <c r="S116" s="1" t="n">
        <v>183</v>
      </c>
      <c r="T116" s="1" t="n">
        <v>4</v>
      </c>
    </row>
    <row r="117" customFormat="false" ht="15" hidden="false" customHeight="false" outlineLevel="0" collapsed="false">
      <c r="A117" s="6" t="n">
        <v>45799</v>
      </c>
      <c r="B117" s="6" t="str">
        <f aca="false">CONCATENATE("S",_xlfn.ISOWEEKNUM(A117),"_",IF(AND(MONTH(A117)=12,_xlfn.ISOWEEKNUM(A117)=1),YEAR(A117)+1,IF(AND(MONTH(A117)=1,_xlfn.ISOWEEKNUM(A117)&gt;50),YEAR(A117)-1,YEAR(A117))))</f>
        <v>S21_2025</v>
      </c>
      <c r="C117" s="7" t="n">
        <f aca="false">E117+G117+I117+K117+M117+O117+Q117+S117+U117+W117+Y117+AA117+AC117+AE117+AG117+AI117+AK117</f>
        <v>130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130</v>
      </c>
      <c r="T117" s="1" t="n">
        <v>2</v>
      </c>
    </row>
    <row r="118" customFormat="false" ht="15" hidden="false" customHeight="false" outlineLevel="0" collapsed="false">
      <c r="A118" s="6" t="n">
        <v>45800</v>
      </c>
      <c r="B118" s="6" t="str">
        <f aca="false">CONCATENATE("S",_xlfn.ISOWEEKNUM(A118),"_",IF(AND(MONTH(A118)=12,_xlfn.ISOWEEKNUM(A118)=1),YEAR(A118)+1,IF(AND(MONTH(A118)=1,_xlfn.ISOWEEKNUM(A118)&gt;50),YEAR(A118)-1,YEAR(A118))))</f>
        <v>S21_2025</v>
      </c>
      <c r="C118" s="7" t="n">
        <f aca="false">E118+G118+I118+K118+M118+O118+Q118+S118+U118+W118+Y118+AA118+AC118+AE118+AG118+AI118+AK118</f>
        <v>199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2</v>
      </c>
      <c r="J118" s="1" t="n">
        <v>0</v>
      </c>
      <c r="K118" s="1" t="n">
        <v>0</v>
      </c>
      <c r="L118" s="1" t="n">
        <v>0</v>
      </c>
      <c r="M118" s="1" t="n">
        <v>2</v>
      </c>
      <c r="N118" s="1" t="n">
        <v>3</v>
      </c>
      <c r="O118" s="1" t="n">
        <v>1</v>
      </c>
      <c r="P118" s="1" t="n">
        <v>0</v>
      </c>
      <c r="Q118" s="1" t="n">
        <v>0</v>
      </c>
      <c r="R118" s="1" t="n">
        <v>0</v>
      </c>
      <c r="S118" s="1" t="n">
        <v>194</v>
      </c>
      <c r="T118" s="1" t="n">
        <v>7</v>
      </c>
    </row>
    <row r="119" customFormat="false" ht="15" hidden="false" customHeight="false" outlineLevel="0" collapsed="false">
      <c r="A119" s="6" t="n">
        <v>45801</v>
      </c>
      <c r="B119" s="6" t="str">
        <f aca="false">CONCATENATE("S",_xlfn.ISOWEEKNUM(A119),"_",IF(AND(MONTH(A119)=12,_xlfn.ISOWEEKNUM(A119)=1),YEAR(A119)+1,IF(AND(MONTH(A119)=1,_xlfn.ISOWEEKNUM(A119)&gt;50),YEAR(A119)-1,YEAR(A119))))</f>
        <v>S21_2025</v>
      </c>
      <c r="C119" s="7" t="n">
        <f aca="false">E119+G119+I119+K119+M119+O119+Q119+S119+U119+W119+Y119+AA119+AC119+AE119+AG119+AI119+AK119</f>
        <v>111</v>
      </c>
      <c r="D119" s="1" t="n">
        <v>0</v>
      </c>
      <c r="E119" s="1" t="n">
        <v>0</v>
      </c>
      <c r="F119" s="1" t="n">
        <v>1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3</v>
      </c>
      <c r="N119" s="1" t="n">
        <v>2</v>
      </c>
      <c r="O119" s="1" t="n">
        <v>1</v>
      </c>
      <c r="P119" s="1" t="n">
        <v>0</v>
      </c>
      <c r="Q119" s="1" t="n">
        <v>0</v>
      </c>
      <c r="R119" s="1" t="n">
        <v>0</v>
      </c>
      <c r="S119" s="1" t="n">
        <v>107</v>
      </c>
      <c r="T119" s="1" t="n">
        <v>5</v>
      </c>
    </row>
    <row r="120" customFormat="false" ht="15" hidden="false" customHeight="false" outlineLevel="0" collapsed="false">
      <c r="A120" s="6" t="n">
        <v>45802</v>
      </c>
      <c r="B120" s="6" t="str">
        <f aca="false">CONCATENATE("S",_xlfn.ISOWEEKNUM(A120),"_",IF(AND(MONTH(A120)=12,_xlfn.ISOWEEKNUM(A120)=1),YEAR(A120)+1,IF(AND(MONTH(A120)=1,_xlfn.ISOWEEKNUM(A120)&gt;50),YEAR(A120)-1,YEAR(A120))))</f>
        <v>S21_2025</v>
      </c>
      <c r="C120" s="7" t="n">
        <f aca="false">E120+G120+I120+K120+M120+O120+Q120+S120+U120+W120+Y120+AA120+AC120+AE120+AG120+AI120+AK120</f>
        <v>122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2</v>
      </c>
      <c r="M120" s="1" t="n">
        <v>3</v>
      </c>
      <c r="N120" s="1" t="n">
        <v>4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119</v>
      </c>
      <c r="T120" s="1" t="n">
        <v>1</v>
      </c>
    </row>
    <row r="121" customFormat="false" ht="15" hidden="false" customHeight="false" outlineLevel="0" collapsed="false">
      <c r="A121" s="6" t="n">
        <v>45803</v>
      </c>
      <c r="B121" s="6" t="str">
        <f aca="false">CONCATENATE("S",_xlfn.ISOWEEKNUM(A121),"_",IF(AND(MONTH(A121)=12,_xlfn.ISOWEEKNUM(A121)=1),YEAR(A121)+1,IF(AND(MONTH(A121)=1,_xlfn.ISOWEEKNUM(A121)&gt;50),YEAR(A121)-1,YEAR(A121))))</f>
        <v>S22_2025</v>
      </c>
      <c r="C121" s="7" t="n">
        <f aca="false">E121+G121+I121+K121+M121+O121+Q121+S121+U121+W121+Y121+AA121+AC121+AE121+AG121+AI121+AK121</f>
        <v>130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130</v>
      </c>
      <c r="T121" s="1" t="n">
        <v>9</v>
      </c>
    </row>
    <row r="122" customFormat="false" ht="15" hidden="false" customHeight="false" outlineLevel="0" collapsed="false">
      <c r="A122" s="6" t="n">
        <v>45804</v>
      </c>
      <c r="B122" s="6" t="str">
        <f aca="false">CONCATENATE("S",_xlfn.ISOWEEKNUM(A122),"_",IF(AND(MONTH(A122)=12,_xlfn.ISOWEEKNUM(A122)=1),YEAR(A122)+1,IF(AND(MONTH(A122)=1,_xlfn.ISOWEEKNUM(A122)&gt;50),YEAR(A122)-1,YEAR(A122))))</f>
        <v>S22_2025</v>
      </c>
      <c r="C122" s="7" t="n">
        <f aca="false">E122+G122+I122+K122+M122+O122+Q122+S122+U122+W122+Y122+AA122+AC122+AE122+AG122+AI122+AK122</f>
        <v>245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245</v>
      </c>
      <c r="T122" s="1" t="n">
        <v>2</v>
      </c>
    </row>
    <row r="123" customFormat="false" ht="15" hidden="false" customHeight="false" outlineLevel="0" collapsed="false">
      <c r="A123" s="6" t="n">
        <v>45805</v>
      </c>
      <c r="B123" s="6" t="str">
        <f aca="false">CONCATENATE("S",_xlfn.ISOWEEKNUM(A123),"_",IF(AND(MONTH(A123)=12,_xlfn.ISOWEEKNUM(A123)=1),YEAR(A123)+1,IF(AND(MONTH(A123)=1,_xlfn.ISOWEEKNUM(A123)&gt;50),YEAR(A123)-1,YEAR(A123))))</f>
        <v>S22_2025</v>
      </c>
      <c r="C123" s="7" t="n">
        <f aca="false">E123+G123+I123+K123+M123+O123+Q123+S123+U123+W123+Y123+AA123+AC123+AE123+AG123+AI123+AK123</f>
        <v>187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187</v>
      </c>
      <c r="T123" s="1" t="n">
        <v>0</v>
      </c>
    </row>
    <row r="124" customFormat="false" ht="15" hidden="false" customHeight="false" outlineLevel="0" collapsed="false">
      <c r="A124" s="6" t="n">
        <v>45806</v>
      </c>
      <c r="B124" s="6" t="str">
        <f aca="false">CONCATENATE("S",_xlfn.ISOWEEKNUM(A124),"_",IF(AND(MONTH(A124)=12,_xlfn.ISOWEEKNUM(A124)=1),YEAR(A124)+1,IF(AND(MONTH(A124)=1,_xlfn.ISOWEEKNUM(A124)&gt;50),YEAR(A124)-1,YEAR(A124))))</f>
        <v>S22_2025</v>
      </c>
      <c r="C124" s="7" t="n">
        <f aca="false">E124+G124+I124+K124+M124+O124+Q124+S124+U124+W124+Y124+AA124+AC124+AE124+AG124+AI124+AK124</f>
        <v>69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68</v>
      </c>
      <c r="T124" s="1" t="n">
        <v>18</v>
      </c>
    </row>
    <row r="125" customFormat="false" ht="15" hidden="false" customHeight="false" outlineLevel="0" collapsed="false">
      <c r="A125" s="6" t="n">
        <v>45807</v>
      </c>
      <c r="B125" s="6" t="str">
        <f aca="false">CONCATENATE("S",_xlfn.ISOWEEKNUM(A125),"_",IF(AND(MONTH(A125)=12,_xlfn.ISOWEEKNUM(A125)=1),YEAR(A125)+1,IF(AND(MONTH(A125)=1,_xlfn.ISOWEEKNUM(A125)&gt;50),YEAR(A125)-1,YEAR(A125))))</f>
        <v>S22_2025</v>
      </c>
      <c r="C125" s="7" t="n">
        <f aca="false">E125+G125+I125+K125+M125+O125+Q125+S125+U125+W125+Y125+AA125+AC125+AE125+AG125+AI125+AK125</f>
        <v>98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98</v>
      </c>
      <c r="T125" s="1" t="n">
        <v>4</v>
      </c>
    </row>
    <row r="126" customFormat="false" ht="15" hidden="false" customHeight="false" outlineLevel="0" collapsed="false">
      <c r="A126" s="6" t="n">
        <v>45808</v>
      </c>
      <c r="B126" s="6" t="str">
        <f aca="false">CONCATENATE("S",_xlfn.ISOWEEKNUM(A126),"_",IF(AND(MONTH(A126)=12,_xlfn.ISOWEEKNUM(A126)=1),YEAR(A126)+1,IF(AND(MONTH(A126)=1,_xlfn.ISOWEEKNUM(A126)&gt;50),YEAR(A126)-1,YEAR(A126))))</f>
        <v>S22_2025</v>
      </c>
      <c r="C126" s="7" t="n">
        <f aca="false">E126+G126+I126+K126+M126+O126+Q126+S126+U126+W126+Y126+AA126+AC126+AE126+AG126+AI126+AK126</f>
        <v>179</v>
      </c>
      <c r="D126" s="1" t="n">
        <v>0</v>
      </c>
      <c r="E126" s="1" t="n">
        <v>3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1</v>
      </c>
      <c r="N126" s="1" t="n">
        <v>0</v>
      </c>
      <c r="O126" s="1" t="n">
        <v>1</v>
      </c>
      <c r="P126" s="1" t="n">
        <v>0</v>
      </c>
      <c r="Q126" s="1" t="n">
        <v>0</v>
      </c>
      <c r="R126" s="1" t="n">
        <v>0</v>
      </c>
      <c r="S126" s="1" t="n">
        <v>174</v>
      </c>
      <c r="T126" s="1" t="n">
        <v>6</v>
      </c>
    </row>
    <row r="127" customFormat="false" ht="15" hidden="false" customHeight="false" outlineLevel="0" collapsed="false">
      <c r="A127" s="5" t="n">
        <v>45809</v>
      </c>
      <c r="B127" s="5" t="str">
        <f aca="false">CONCATENATE("S",_xlfn.ISOWEEKNUM(A127),"_",IF(AND(MONTH(A127)=12,_xlfn.ISOWEEKNUM(A127)=1),YEAR(A127)+1,IF(AND(MONTH(A127)=1,_xlfn.ISOWEEKNUM(A127)&gt;50),YEAR(A127)-1,YEAR(A127))))</f>
        <v>S22_2025</v>
      </c>
      <c r="C127" s="7" t="n">
        <f aca="false">E127+G127+I127+K127+M127+O127+Q127+S127+U127+W127+Y127+AA127+AC127+AE127+AG127+AI127+AK127</f>
        <v>152</v>
      </c>
      <c r="D127" s="10" t="n">
        <v>0</v>
      </c>
      <c r="E127" s="10" t="n">
        <v>4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1</v>
      </c>
      <c r="N127" s="10" t="n">
        <v>1</v>
      </c>
      <c r="O127" s="10" t="n">
        <v>2</v>
      </c>
      <c r="P127" s="10" t="n">
        <v>0</v>
      </c>
      <c r="Q127" s="10" t="n">
        <v>0</v>
      </c>
      <c r="R127" s="10" t="n">
        <v>0</v>
      </c>
      <c r="S127" s="10" t="n">
        <v>145</v>
      </c>
      <c r="T127" s="10" t="n">
        <v>5</v>
      </c>
    </row>
    <row r="128" customFormat="false" ht="15" hidden="false" customHeight="false" outlineLevel="0" collapsed="false">
      <c r="A128" s="5" t="n">
        <v>45810</v>
      </c>
      <c r="B128" s="5" t="str">
        <f aca="false">CONCATENATE("S",_xlfn.ISOWEEKNUM(A128),"_",IF(AND(MONTH(A128)=12,_xlfn.ISOWEEKNUM(A128)=1),YEAR(A128)+1,IF(AND(MONTH(A128)=1,_xlfn.ISOWEEKNUM(A128)&gt;50),YEAR(A128)-1,YEAR(A128))))</f>
        <v>S23_2025</v>
      </c>
      <c r="C128" s="7" t="n">
        <f aca="false">E128+G128+I128+K128+M128+O128+Q128+S128+U128+W128+Y128+AA128+AC128+AE128+AG128+AI128+AK128</f>
        <v>200</v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6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1</v>
      </c>
      <c r="N128" s="10" t="n">
        <v>0</v>
      </c>
      <c r="O128" s="10" t="n">
        <v>4</v>
      </c>
      <c r="P128" s="10" t="n">
        <v>0</v>
      </c>
      <c r="Q128" s="10" t="n">
        <v>0</v>
      </c>
      <c r="R128" s="10" t="n">
        <v>0</v>
      </c>
      <c r="S128" s="10" t="n">
        <v>195</v>
      </c>
      <c r="T128" s="10" t="n">
        <v>8</v>
      </c>
    </row>
    <row r="129" customFormat="false" ht="15" hidden="false" customHeight="false" outlineLevel="0" collapsed="false">
      <c r="A129" s="5" t="n">
        <v>45811</v>
      </c>
      <c r="B129" s="5" t="str">
        <f aca="false">CONCATENATE("S",_xlfn.ISOWEEKNUM(A129),"_",IF(AND(MONTH(A129)=12,_xlfn.ISOWEEKNUM(A129)=1),YEAR(A129)+1,IF(AND(MONTH(A129)=1,_xlfn.ISOWEEKNUM(A129)&gt;50),YEAR(A129)-1,YEAR(A129))))</f>
        <v>S23_2025</v>
      </c>
      <c r="C129" s="7" t="n">
        <f aca="false">E129+G129+I129+K129+M129+O129+Q129+S129+U129+W129+Y129+AA129+AC129+AE129+AG129+AI129+AK129</f>
        <v>124</v>
      </c>
      <c r="D129" s="10" t="n">
        <v>0</v>
      </c>
      <c r="E129" s="10" t="n">
        <v>3</v>
      </c>
      <c r="F129" s="10" t="n">
        <v>2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2</v>
      </c>
      <c r="N129" s="10" t="n">
        <v>0</v>
      </c>
      <c r="O129" s="10" t="n">
        <v>5</v>
      </c>
      <c r="P129" s="10" t="n">
        <v>0</v>
      </c>
      <c r="Q129" s="10" t="n">
        <v>0</v>
      </c>
      <c r="R129" s="10" t="n">
        <v>0</v>
      </c>
      <c r="S129" s="10" t="n">
        <v>114</v>
      </c>
      <c r="T129" s="10" t="n">
        <v>5</v>
      </c>
    </row>
    <row r="130" customFormat="false" ht="15" hidden="false" customHeight="false" outlineLevel="0" collapsed="false">
      <c r="A130" s="5" t="n">
        <v>45812</v>
      </c>
      <c r="B130" s="5" t="str">
        <f aca="false">CONCATENATE("S",_xlfn.ISOWEEKNUM(A130),"_",IF(AND(MONTH(A130)=12,_xlfn.ISOWEEKNUM(A130)=1),YEAR(A130)+1,IF(AND(MONTH(A130)=1,_xlfn.ISOWEEKNUM(A130)&gt;50),YEAR(A130)-1,YEAR(A130))))</f>
        <v>S23_2025</v>
      </c>
      <c r="C130" s="7" t="n">
        <f aca="false">E130+G130+I130+K130+M130+O130+Q130+S130+U130+W130+Y130+AA130+AC130+AE130+AG130+AI130+AK130</f>
        <v>174</v>
      </c>
      <c r="D130" s="10" t="n">
        <v>0</v>
      </c>
      <c r="E130" s="10" t="n">
        <v>0</v>
      </c>
      <c r="F130" s="10" t="n">
        <v>0</v>
      </c>
      <c r="G130" s="10" t="n">
        <v>2</v>
      </c>
      <c r="H130" s="10" t="n">
        <v>0</v>
      </c>
      <c r="I130" s="10" t="n">
        <v>7</v>
      </c>
      <c r="J130" s="10" t="n">
        <v>0</v>
      </c>
      <c r="K130" s="10" t="n">
        <v>1</v>
      </c>
      <c r="L130" s="10" t="n">
        <v>0</v>
      </c>
      <c r="M130" s="10" t="n">
        <v>0</v>
      </c>
      <c r="N130" s="10" t="n">
        <v>1</v>
      </c>
      <c r="O130" s="10" t="n">
        <v>3</v>
      </c>
      <c r="P130" s="10" t="n">
        <v>0</v>
      </c>
      <c r="Q130" s="10" t="n">
        <v>0</v>
      </c>
      <c r="R130" s="10" t="n">
        <v>0</v>
      </c>
      <c r="S130" s="10" t="n">
        <v>161</v>
      </c>
      <c r="T130" s="10" t="n">
        <v>4</v>
      </c>
    </row>
    <row r="131" customFormat="false" ht="15" hidden="false" customHeight="false" outlineLevel="0" collapsed="false">
      <c r="A131" s="5" t="n">
        <v>45813</v>
      </c>
      <c r="B131" s="5" t="str">
        <f aca="false">CONCATENATE("S",_xlfn.ISOWEEKNUM(A131),"_",IF(AND(MONTH(A131)=12,_xlfn.ISOWEEKNUM(A131)=1),YEAR(A131)+1,IF(AND(MONTH(A131)=1,_xlfn.ISOWEEKNUM(A131)&gt;50),YEAR(A131)-1,YEAR(A131))))</f>
        <v>S23_2025</v>
      </c>
      <c r="C131" s="7" t="n">
        <f aca="false">E131+G131+I131+K131+M131+O131+Q131+S131+U131+W131+Y131+AA131+AC131+AE131+AG131+AI131+AK131</f>
        <v>140</v>
      </c>
      <c r="D131" s="10" t="n">
        <v>0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  <c r="S131" s="10" t="n">
        <v>140</v>
      </c>
      <c r="T131" s="10" t="n">
        <v>10</v>
      </c>
    </row>
    <row r="132" customFormat="false" ht="15" hidden="false" customHeight="false" outlineLevel="0" collapsed="false">
      <c r="A132" s="5" t="n">
        <v>45814</v>
      </c>
      <c r="B132" s="5" t="str">
        <f aca="false">CONCATENATE("S",_xlfn.ISOWEEKNUM(A132),"_",IF(AND(MONTH(A132)=12,_xlfn.ISOWEEKNUM(A132)=1),YEAR(A132)+1,IF(AND(MONTH(A132)=1,_xlfn.ISOWEEKNUM(A132)&gt;50),YEAR(A132)-1,YEAR(A132))))</f>
        <v>S23_2025</v>
      </c>
      <c r="C132" s="7" t="n">
        <f aca="false">E132+G132+I132+K132+M132+O132+Q132+S132+U132+W132+Y132+AA132+AC132+AE132+AG132+AI132+AK132</f>
        <v>160</v>
      </c>
      <c r="D132" s="10" t="n">
        <v>1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160</v>
      </c>
      <c r="T132" s="10" t="n">
        <v>3</v>
      </c>
    </row>
    <row r="133" customFormat="false" ht="15" hidden="false" customHeight="false" outlineLevel="0" collapsed="false">
      <c r="A133" s="5" t="n">
        <v>45815</v>
      </c>
      <c r="B133" s="5" t="str">
        <f aca="false">CONCATENATE("S",_xlfn.ISOWEEKNUM(A133),"_",IF(AND(MONTH(A133)=12,_xlfn.ISOWEEKNUM(A133)=1),YEAR(A133)+1,IF(AND(MONTH(A133)=1,_xlfn.ISOWEEKNUM(A133)&gt;50),YEAR(A133)-1,YEAR(A133))))</f>
        <v>S23_2025</v>
      </c>
      <c r="C133" s="7" t="n">
        <f aca="false">E133+G133+I133+K133+M133+O133+Q133+S133+U133+W133+Y133+AA133+AC133+AE133+AG133+AI133+AK133</f>
        <v>180</v>
      </c>
      <c r="D133" s="10" t="n">
        <v>0</v>
      </c>
      <c r="E133" s="10" t="n">
        <v>0</v>
      </c>
      <c r="F133" s="10" t="n">
        <v>0</v>
      </c>
      <c r="G133" s="10" t="n">
        <v>0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0" t="n">
        <v>0</v>
      </c>
      <c r="P133" s="10" t="n">
        <v>0</v>
      </c>
      <c r="Q133" s="10" t="n">
        <v>0</v>
      </c>
      <c r="R133" s="10" t="n">
        <v>0</v>
      </c>
      <c r="S133" s="10" t="n">
        <v>180</v>
      </c>
      <c r="T133" s="10" t="n">
        <v>8</v>
      </c>
    </row>
    <row r="134" customFormat="false" ht="15" hidden="false" customHeight="false" outlineLevel="0" collapsed="false">
      <c r="A134" s="5" t="n">
        <v>45816</v>
      </c>
      <c r="B134" s="5" t="str">
        <f aca="false">CONCATENATE("S",_xlfn.ISOWEEKNUM(A134),"_",IF(AND(MONTH(A134)=12,_xlfn.ISOWEEKNUM(A134)=1),YEAR(A134)+1,IF(AND(MONTH(A134)=1,_xlfn.ISOWEEKNUM(A134)&gt;50),YEAR(A134)-1,YEAR(A134))))</f>
        <v>S23_2025</v>
      </c>
      <c r="C134" s="7" t="n">
        <f aca="false">E134+G134+I134+K134+M134+O134+Q134+S134+U134+W134+Y134+AA134+AC134+AE134+AG134+AI134+AK134</f>
        <v>119</v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119</v>
      </c>
      <c r="T134" s="10" t="n">
        <v>9</v>
      </c>
    </row>
    <row r="135" customFormat="false" ht="15" hidden="false" customHeight="false" outlineLevel="0" collapsed="false">
      <c r="A135" s="5" t="n">
        <v>45817</v>
      </c>
      <c r="B135" s="5" t="str">
        <f aca="false">CONCATENATE("S",_xlfn.ISOWEEKNUM(A135),"_",IF(AND(MONTH(A135)=12,_xlfn.ISOWEEKNUM(A135)=1),YEAR(A135)+1,IF(AND(MONTH(A135)=1,_xlfn.ISOWEEKNUM(A135)&gt;50),YEAR(A135)-1,YEAR(A135))))</f>
        <v>S24_2025</v>
      </c>
      <c r="C135" s="7" t="n">
        <f aca="false">E135+G135+I135+K135+M135+O135+Q135+S135+U135+W135+Y135+AA135+AC135+AE135+AG135+AI135+AK135</f>
        <v>118</v>
      </c>
      <c r="D135" s="10" t="n">
        <v>1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8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0</v>
      </c>
      <c r="Q135" s="10" t="n">
        <v>0</v>
      </c>
      <c r="R135" s="10" t="n">
        <v>0</v>
      </c>
      <c r="S135" s="10" t="n">
        <v>110</v>
      </c>
      <c r="T135" s="10" t="n">
        <v>10</v>
      </c>
    </row>
    <row r="136" customFormat="false" ht="15" hidden="false" customHeight="false" outlineLevel="0" collapsed="false">
      <c r="A136" s="5" t="n">
        <v>45818</v>
      </c>
      <c r="B136" s="5" t="str">
        <f aca="false">CONCATENATE("S",_xlfn.ISOWEEKNUM(A136),"_",IF(AND(MONTH(A136)=12,_xlfn.ISOWEEKNUM(A136)=1),YEAR(A136)+1,IF(AND(MONTH(A136)=1,_xlfn.ISOWEEKNUM(A136)&gt;50),YEAR(A136)-1,YEAR(A136))))</f>
        <v>S24_2025</v>
      </c>
      <c r="C136" s="7" t="n">
        <f aca="false">E136+G136+I136+K136+M136+O136+Q136+S136+U136+W136+Y136+AA136+AC136+AE136+AG136+AI136+AK136</f>
        <v>134</v>
      </c>
      <c r="D136" s="10" t="n">
        <v>0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9</v>
      </c>
      <c r="J136" s="10" t="n">
        <v>0</v>
      </c>
      <c r="K136" s="10" t="n">
        <v>5</v>
      </c>
      <c r="L136" s="10" t="n">
        <v>0</v>
      </c>
      <c r="M136" s="10" t="n">
        <v>0</v>
      </c>
      <c r="N136" s="10" t="n">
        <v>5</v>
      </c>
      <c r="O136" s="10" t="n">
        <v>0</v>
      </c>
      <c r="P136" s="10" t="n">
        <v>0</v>
      </c>
      <c r="Q136" s="10" t="n">
        <v>0</v>
      </c>
      <c r="R136" s="10" t="n">
        <v>0</v>
      </c>
      <c r="S136" s="10" t="n">
        <v>120</v>
      </c>
      <c r="T136" s="10" t="n">
        <v>10</v>
      </c>
    </row>
    <row r="137" customFormat="false" ht="15" hidden="false" customHeight="false" outlineLevel="0" collapsed="false">
      <c r="A137" s="5" t="n">
        <v>45819</v>
      </c>
      <c r="B137" s="5" t="str">
        <f aca="false">CONCATENATE("S",_xlfn.ISOWEEKNUM(A137),"_",IF(AND(MONTH(A137)=12,_xlfn.ISOWEEKNUM(A137)=1),YEAR(A137)+1,IF(AND(MONTH(A137)=1,_xlfn.ISOWEEKNUM(A137)&gt;50),YEAR(A137)-1,YEAR(A137))))</f>
        <v>S24_2025</v>
      </c>
      <c r="C137" s="7" t="n">
        <f aca="false">E137+G137+I137+K137+M137+O137+Q137+S137+U137+W137+Y137+AA137+AC137+AE137+AG137+AI137+AK137</f>
        <v>188</v>
      </c>
      <c r="D137" s="10" t="n">
        <v>2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3</v>
      </c>
      <c r="M137" s="10" t="n">
        <v>0</v>
      </c>
      <c r="N137" s="10" t="n">
        <v>3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188</v>
      </c>
      <c r="T137" s="10" t="n">
        <v>8</v>
      </c>
    </row>
    <row r="138" customFormat="false" ht="15" hidden="false" customHeight="false" outlineLevel="0" collapsed="false">
      <c r="A138" s="5" t="n">
        <v>45820</v>
      </c>
      <c r="B138" s="5" t="str">
        <f aca="false">CONCATENATE("S",_xlfn.ISOWEEKNUM(A138),"_",IF(AND(MONTH(A138)=12,_xlfn.ISOWEEKNUM(A138)=1),YEAR(A138)+1,IF(AND(MONTH(A138)=1,_xlfn.ISOWEEKNUM(A138)&gt;50),YEAR(A138)-1,YEAR(A138))))</f>
        <v>S24_2025</v>
      </c>
      <c r="C138" s="7" t="n">
        <f aca="false">E138+G138+I138+K138+M138+O138+Q138+S138+U138+W138+Y138+AA138+AC138+AE138+AG138+AI138+AK138</f>
        <v>112</v>
      </c>
      <c r="D138" s="10" t="n">
        <v>1</v>
      </c>
      <c r="E138" s="10" t="n">
        <v>0</v>
      </c>
      <c r="F138" s="10" t="n">
        <v>1</v>
      </c>
      <c r="G138" s="10" t="n">
        <v>0</v>
      </c>
      <c r="H138" s="10" t="n">
        <v>0</v>
      </c>
      <c r="I138" s="10" t="n">
        <v>1</v>
      </c>
      <c r="J138" s="10" t="n">
        <v>0</v>
      </c>
      <c r="K138" s="10" t="n">
        <v>1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110</v>
      </c>
      <c r="T138" s="10" t="n">
        <v>10</v>
      </c>
    </row>
    <row r="139" customFormat="false" ht="15" hidden="false" customHeight="false" outlineLevel="0" collapsed="false">
      <c r="A139" s="5" t="n">
        <v>45821</v>
      </c>
      <c r="B139" s="5" t="str">
        <f aca="false">CONCATENATE("S",_xlfn.ISOWEEKNUM(A139),"_",IF(AND(MONTH(A139)=12,_xlfn.ISOWEEKNUM(A139)=1),YEAR(A139)+1,IF(AND(MONTH(A139)=1,_xlfn.ISOWEEKNUM(A139)&gt;50),YEAR(A139)-1,YEAR(A139))))</f>
        <v>S24_2025</v>
      </c>
      <c r="C139" s="7" t="n">
        <f aca="false">E139+G139+I139+K139+M139+O139+Q139+S139+U139+W139+Y139+AA139+AC139+AE139+AG139+AI139+AK139</f>
        <v>154</v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154</v>
      </c>
      <c r="T139" s="10" t="n">
        <v>15</v>
      </c>
    </row>
    <row r="140" customFormat="false" ht="15" hidden="false" customHeight="false" outlineLevel="0" collapsed="false">
      <c r="A140" s="5" t="n">
        <v>45822</v>
      </c>
      <c r="B140" s="5" t="str">
        <f aca="false">CONCATENATE("S",_xlfn.ISOWEEKNUM(A140),"_",IF(AND(MONTH(A140)=12,_xlfn.ISOWEEKNUM(A140)=1),YEAR(A140)+1,IF(AND(MONTH(A140)=1,_xlfn.ISOWEEKNUM(A140)&gt;50),YEAR(A140)-1,YEAR(A140))))</f>
        <v>S24_2025</v>
      </c>
      <c r="C140" s="7" t="n">
        <f aca="false">E140+G140+I140+K140+M140+O140+Q140+S140+U140+W140+Y140+AA140+AC140+AE140+AG140+AI140+AK140</f>
        <v>121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121</v>
      </c>
      <c r="T140" s="10" t="n">
        <v>25</v>
      </c>
    </row>
    <row r="141" customFormat="false" ht="15" hidden="false" customHeight="false" outlineLevel="0" collapsed="false">
      <c r="A141" s="5" t="n">
        <v>45823</v>
      </c>
      <c r="B141" s="5" t="str">
        <f aca="false">CONCATENATE("S",_xlfn.ISOWEEKNUM(A141),"_",IF(AND(MONTH(A141)=12,_xlfn.ISOWEEKNUM(A141)=1),YEAR(A141)+1,IF(AND(MONTH(A141)=1,_xlfn.ISOWEEKNUM(A141)&gt;50),YEAR(A141)-1,YEAR(A141))))</f>
        <v>S24_2025</v>
      </c>
      <c r="C141" s="7" t="n">
        <f aca="false">E141+G141+I141+K141+M141+O141+Q141+S141+U141+W141+Y141+AA141+AC141+AE141+AG141+AI141+AK141</f>
        <v>132</v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0" t="n">
        <v>0</v>
      </c>
      <c r="Q141" s="10" t="n">
        <v>0</v>
      </c>
      <c r="R141" s="10" t="n">
        <v>0</v>
      </c>
      <c r="S141" s="10" t="n">
        <v>132</v>
      </c>
      <c r="T141" s="10" t="n">
        <v>28</v>
      </c>
    </row>
    <row r="142" customFormat="false" ht="15" hidden="false" customHeight="false" outlineLevel="0" collapsed="false">
      <c r="A142" s="5" t="n">
        <v>45824</v>
      </c>
      <c r="B142" s="5" t="str">
        <f aca="false">CONCATENATE("S",_xlfn.ISOWEEKNUM(A142),"_",IF(AND(MONTH(A142)=12,_xlfn.ISOWEEKNUM(A142)=1),YEAR(A142)+1,IF(AND(MONTH(A142)=1,_xlfn.ISOWEEKNUM(A142)&gt;50),YEAR(A142)-1,YEAR(A142))))</f>
        <v>S25_2025</v>
      </c>
      <c r="C142" s="7" t="n">
        <f aca="false">E142+G142+I142+K142+M142+O142+Q142+S142+U142+W142+Y142+AA142+AC142+AE142+AG142+AI142+AK142</f>
        <v>122</v>
      </c>
      <c r="D142" s="10" t="n">
        <v>0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122</v>
      </c>
      <c r="T142" s="10" t="n">
        <v>41</v>
      </c>
    </row>
    <row r="143" customFormat="false" ht="15" hidden="false" customHeight="false" outlineLevel="0" collapsed="false">
      <c r="A143" s="5" t="n">
        <v>45825</v>
      </c>
      <c r="B143" s="5" t="str">
        <f aca="false">CONCATENATE("S",_xlfn.ISOWEEKNUM(A143),"_",IF(AND(MONTH(A143)=12,_xlfn.ISOWEEKNUM(A143)=1),YEAR(A143)+1,IF(AND(MONTH(A143)=1,_xlfn.ISOWEEKNUM(A143)&gt;50),YEAR(A143)-1,YEAR(A143))))</f>
        <v>S25_2025</v>
      </c>
      <c r="C143" s="7" t="n">
        <f aca="false">E143+G143+I143+K143+M143+O143+Q143+S143+U143+W143+Y143+AA143+AC143+AE143+AG143+AI143+AK143</f>
        <v>103</v>
      </c>
      <c r="D143" s="10" t="n">
        <v>0</v>
      </c>
      <c r="E143" s="10" t="n">
        <v>0</v>
      </c>
      <c r="F143" s="10" t="n">
        <v>0</v>
      </c>
      <c r="G143" s="10" t="n">
        <v>0</v>
      </c>
      <c r="H143" s="10" t="n">
        <v>0</v>
      </c>
      <c r="I143" s="10" t="n">
        <v>0</v>
      </c>
      <c r="J143" s="10" t="n">
        <v>0</v>
      </c>
      <c r="K143" s="10" t="n">
        <v>0</v>
      </c>
      <c r="L143" s="10" t="n">
        <v>0</v>
      </c>
      <c r="M143" s="10" t="n">
        <v>0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n">
        <v>0</v>
      </c>
      <c r="S143" s="10" t="n">
        <v>103</v>
      </c>
      <c r="T143" s="10" t="n">
        <v>12</v>
      </c>
    </row>
    <row r="144" customFormat="false" ht="15" hidden="false" customHeight="false" outlineLevel="0" collapsed="false">
      <c r="A144" s="5" t="n">
        <v>45826</v>
      </c>
      <c r="B144" s="5" t="str">
        <f aca="false">CONCATENATE("S",_xlfn.ISOWEEKNUM(A144),"_",IF(AND(MONTH(A144)=12,_xlfn.ISOWEEKNUM(A144)=1),YEAR(A144)+1,IF(AND(MONTH(A144)=1,_xlfn.ISOWEEKNUM(A144)&gt;50),YEAR(A144)-1,YEAR(A144))))</f>
        <v>S25_2025</v>
      </c>
      <c r="C144" s="7" t="n">
        <f aca="false">E144+G144+I144+K144+M144+O144+Q144+S144+U144+W144+Y144+AA144+AC144+AE144+AG144+AI144+AK144</f>
        <v>112</v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1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111</v>
      </c>
      <c r="T144" s="10" t="n">
        <v>18</v>
      </c>
    </row>
    <row r="145" customFormat="false" ht="15" hidden="false" customHeight="false" outlineLevel="0" collapsed="false">
      <c r="A145" s="5" t="n">
        <v>45827</v>
      </c>
      <c r="B145" s="5" t="str">
        <f aca="false">CONCATENATE("S",_xlfn.ISOWEEKNUM(A145),"_",IF(AND(MONTH(A145)=12,_xlfn.ISOWEEKNUM(A145)=1),YEAR(A145)+1,IF(AND(MONTH(A145)=1,_xlfn.ISOWEEKNUM(A145)&gt;50),YEAR(A145)-1,YEAR(A145))))</f>
        <v>S25_2025</v>
      </c>
      <c r="C145" s="7" t="n">
        <f aca="false">E145+G145+I145+K145+M145+O145+Q145+S145+U145+W145+Y145+AA145+AC145+AE145+AG145+AI145+AK145</f>
        <v>142</v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142</v>
      </c>
      <c r="T145" s="10" t="n">
        <v>7</v>
      </c>
    </row>
    <row r="146" customFormat="false" ht="15" hidden="false" customHeight="false" outlineLevel="0" collapsed="false">
      <c r="A146" s="5" t="n">
        <v>45828</v>
      </c>
      <c r="B146" s="5" t="str">
        <f aca="false">CONCATENATE("S",_xlfn.ISOWEEKNUM(A146),"_",IF(AND(MONTH(A146)=12,_xlfn.ISOWEEKNUM(A146)=1),YEAR(A146)+1,IF(AND(MONTH(A146)=1,_xlfn.ISOWEEKNUM(A146)&gt;50),YEAR(A146)-1,YEAR(A146))))</f>
        <v>S25_2025</v>
      </c>
      <c r="C146" s="7" t="n">
        <f aca="false">E146+G146+I146+K146+M146+O146+Q146+S146+U146+W146+Y146+AA146+AC146+AE146+AG146+AI146+AK146</f>
        <v>157</v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3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157</v>
      </c>
      <c r="T146" s="10" t="n">
        <v>24</v>
      </c>
    </row>
    <row r="147" customFormat="false" ht="15" hidden="false" customHeight="false" outlineLevel="0" collapsed="false">
      <c r="A147" s="5" t="n">
        <v>45829</v>
      </c>
      <c r="B147" s="5" t="str">
        <f aca="false">CONCATENATE("S",_xlfn.ISOWEEKNUM(A147),"_",IF(AND(MONTH(A147)=12,_xlfn.ISOWEEKNUM(A147)=1),YEAR(A147)+1,IF(AND(MONTH(A147)=1,_xlfn.ISOWEEKNUM(A147)&gt;50),YEAR(A147)-1,YEAR(A147))))</f>
        <v>S25_2025</v>
      </c>
      <c r="C147" s="7" t="n">
        <f aca="false">E147+G147+I147+K147+M147+O147+Q147+S147+U147+W147+Y147+AA147+AC147+AE147+AG147+AI147+AK147</f>
        <v>135</v>
      </c>
      <c r="D147" s="10" t="n">
        <v>0</v>
      </c>
      <c r="E147" s="10" t="n">
        <v>0</v>
      </c>
      <c r="F147" s="10" t="n">
        <v>0</v>
      </c>
      <c r="G147" s="10" t="n">
        <v>0</v>
      </c>
      <c r="H147" s="10" t="n">
        <v>1</v>
      </c>
      <c r="I147" s="10" t="n">
        <v>0</v>
      </c>
      <c r="J147" s="10" t="n">
        <v>0</v>
      </c>
      <c r="K147" s="10" t="n">
        <v>1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134</v>
      </c>
      <c r="T147" s="10" t="n">
        <v>4</v>
      </c>
    </row>
    <row r="148" customFormat="false" ht="15" hidden="false" customHeight="false" outlineLevel="0" collapsed="false">
      <c r="A148" s="5" t="n">
        <v>45830</v>
      </c>
      <c r="B148" s="5" t="str">
        <f aca="false">CONCATENATE("S",_xlfn.ISOWEEKNUM(A148),"_",IF(AND(MONTH(A148)=12,_xlfn.ISOWEEKNUM(A148)=1),YEAR(A148)+1,IF(AND(MONTH(A148)=1,_xlfn.ISOWEEKNUM(A148)&gt;50),YEAR(A148)-1,YEAR(A148))))</f>
        <v>S25_2025</v>
      </c>
      <c r="C148" s="7" t="n">
        <f aca="false">E148+G148+I148+K148+M148+O148+Q148+S148+U148+W148+Y148+AA148+AC148+AE148+AG148+AI148+AK148</f>
        <v>80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80</v>
      </c>
      <c r="T148" s="10" t="n">
        <v>1</v>
      </c>
    </row>
    <row r="149" customFormat="false" ht="15" hidden="false" customHeight="false" outlineLevel="0" collapsed="false">
      <c r="A149" s="5" t="n">
        <v>45831</v>
      </c>
      <c r="B149" s="5" t="str">
        <f aca="false">CONCATENATE("S",_xlfn.ISOWEEKNUM(A149),"_",IF(AND(MONTH(A149)=12,_xlfn.ISOWEEKNUM(A149)=1),YEAR(A149)+1,IF(AND(MONTH(A149)=1,_xlfn.ISOWEEKNUM(A149)&gt;50),YEAR(A149)-1,YEAR(A149))))</f>
        <v>S26_2025</v>
      </c>
      <c r="C149" s="7" t="n">
        <f aca="false">E149+G149+I149+K149+M149+O149+Q149+S149+U149+W149+Y149+AA149+AC149+AE149+AG149+AI149+AK149</f>
        <v>72</v>
      </c>
      <c r="D149" s="10" t="n">
        <v>0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  <c r="S149" s="10" t="n">
        <v>72</v>
      </c>
      <c r="T149" s="10" t="n">
        <v>0</v>
      </c>
    </row>
    <row r="150" customFormat="false" ht="15" hidden="false" customHeight="false" outlineLevel="0" collapsed="false">
      <c r="A150" s="5" t="n">
        <v>45832</v>
      </c>
      <c r="B150" s="5" t="str">
        <f aca="false">CONCATENATE("S",_xlfn.ISOWEEKNUM(A150),"_",IF(AND(MONTH(A150)=12,_xlfn.ISOWEEKNUM(A150)=1),YEAR(A150)+1,IF(AND(MONTH(A150)=1,_xlfn.ISOWEEKNUM(A150)&gt;50),YEAR(A150)-1,YEAR(A150))))</f>
        <v>S26_2025</v>
      </c>
      <c r="C150" s="7" t="n">
        <f aca="false">E150+G150+I150+K150+M150+O150+Q150+S150+U150+W150+Y150+AA150+AC150+AE150+AG150+AI150+AK150</f>
        <v>106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106</v>
      </c>
      <c r="T150" s="10" t="n">
        <v>0</v>
      </c>
    </row>
    <row r="151" customFormat="false" ht="15" hidden="false" customHeight="false" outlineLevel="0" collapsed="false">
      <c r="A151" s="5" t="n">
        <v>45833</v>
      </c>
      <c r="B151" s="5" t="str">
        <f aca="false">CONCATENATE("S",_xlfn.ISOWEEKNUM(A151),"_",IF(AND(MONTH(A151)=12,_xlfn.ISOWEEKNUM(A151)=1),YEAR(A151)+1,IF(AND(MONTH(A151)=1,_xlfn.ISOWEEKNUM(A151)&gt;50),YEAR(A151)-1,YEAR(A151))))</f>
        <v>S26_2025</v>
      </c>
      <c r="C151" s="7" t="n">
        <f aca="false">E151+G151+I151+K151+M151+O151+Q151+S151+U151+W151+Y151+AA151+AC151+AE151+AG151+AI151+AK151</f>
        <v>241</v>
      </c>
      <c r="D151" s="10" t="n">
        <v>0</v>
      </c>
      <c r="E151" s="10" t="n">
        <v>0</v>
      </c>
      <c r="F151" s="10" t="n">
        <v>0</v>
      </c>
      <c r="G151" s="10" t="n">
        <v>0</v>
      </c>
      <c r="H151" s="10" t="n">
        <v>3</v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241</v>
      </c>
      <c r="T151" s="10" t="n">
        <v>11</v>
      </c>
    </row>
    <row r="152" customFormat="false" ht="15" hidden="false" customHeight="false" outlineLevel="0" collapsed="false">
      <c r="A152" s="5" t="n">
        <v>45834</v>
      </c>
      <c r="B152" s="5" t="str">
        <f aca="false">CONCATENATE("S",_xlfn.ISOWEEKNUM(A152),"_",IF(AND(MONTH(A152)=12,_xlfn.ISOWEEKNUM(A152)=1),YEAR(A152)+1,IF(AND(MONTH(A152)=1,_xlfn.ISOWEEKNUM(A152)&gt;50),YEAR(A152)-1,YEAR(A152))))</f>
        <v>S26_2025</v>
      </c>
      <c r="C152" s="7" t="n">
        <f aca="false">E152+G152+I152+K152+M152+O152+Q152+S152+U152+W152+Y152+AA152+AC152+AE152+AG152+AI152+AK152</f>
        <v>153</v>
      </c>
      <c r="D152" s="10" t="n">
        <v>0</v>
      </c>
      <c r="E152" s="10" t="n">
        <v>3</v>
      </c>
      <c r="F152" s="10"/>
      <c r="G152" s="10"/>
      <c r="H152" s="10"/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150</v>
      </c>
      <c r="T152" s="10" t="n">
        <v>0</v>
      </c>
    </row>
    <row r="153" customFormat="false" ht="15" hidden="false" customHeight="false" outlineLevel="0" collapsed="false">
      <c r="A153" s="5" t="n">
        <v>45835</v>
      </c>
      <c r="B153" s="5" t="str">
        <f aca="false">CONCATENATE("S",_xlfn.ISOWEEKNUM(A153),"_",IF(AND(MONTH(A153)=12,_xlfn.ISOWEEKNUM(A153)=1),YEAR(A153)+1,IF(AND(MONTH(A153)=1,_xlfn.ISOWEEKNUM(A153)&gt;50),YEAR(A153)-1,YEAR(A153))))</f>
        <v>S26_2025</v>
      </c>
      <c r="C153" s="7" t="n">
        <f aca="false">E153+G153+I153+K153+M153+O153+Q153+S153+U153+W153+Y153+AA153+AC153+AE153+AG153+AI153+AK153</f>
        <v>110</v>
      </c>
      <c r="D153" s="10" t="n">
        <v>0</v>
      </c>
      <c r="E153" s="10" t="n">
        <v>0</v>
      </c>
      <c r="F153" s="10" t="n">
        <v>0</v>
      </c>
      <c r="G153" s="10" t="n">
        <v>0</v>
      </c>
      <c r="H153" s="10" t="n">
        <v>0</v>
      </c>
      <c r="I153" s="10" t="n">
        <v>0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0" t="n">
        <v>0</v>
      </c>
      <c r="P153" s="10" t="n">
        <v>0</v>
      </c>
      <c r="Q153" s="10" t="n">
        <v>0</v>
      </c>
      <c r="R153" s="10" t="n">
        <v>0</v>
      </c>
      <c r="S153" s="10" t="n">
        <v>110</v>
      </c>
      <c r="T153" s="10" t="n">
        <v>8</v>
      </c>
    </row>
    <row r="154" customFormat="false" ht="15" hidden="false" customHeight="false" outlineLevel="0" collapsed="false">
      <c r="A154" s="5" t="n">
        <v>45836</v>
      </c>
      <c r="B154" s="5" t="str">
        <f aca="false">CONCATENATE("S",_xlfn.ISOWEEKNUM(A154),"_",IF(AND(MONTH(A154)=12,_xlfn.ISOWEEKNUM(A154)=1),YEAR(A154)+1,IF(AND(MONTH(A154)=1,_xlfn.ISOWEEKNUM(A154)&gt;50),YEAR(A154)-1,YEAR(A154))))</f>
        <v>S26_2025</v>
      </c>
      <c r="C154" s="7" t="n">
        <f aca="false">E154+G154+I154+K154+M154+O154+Q154+S154+U154+W154+Y154+AA154+AC154+AE154+AG154+AI154+AK154</f>
        <v>109</v>
      </c>
      <c r="D154" s="10" t="n">
        <v>0</v>
      </c>
      <c r="E154" s="10" t="n">
        <v>4</v>
      </c>
      <c r="F154" s="10" t="n">
        <v>2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105</v>
      </c>
      <c r="T154" s="10" t="n">
        <v>5</v>
      </c>
    </row>
    <row r="155" customFormat="false" ht="15" hidden="false" customHeight="false" outlineLevel="0" collapsed="false">
      <c r="A155" s="5" t="n">
        <v>45837</v>
      </c>
      <c r="B155" s="5" t="str">
        <f aca="false">CONCATENATE("S",_xlfn.ISOWEEKNUM(A155),"_",IF(AND(MONTH(A155)=12,_xlfn.ISOWEEKNUM(A155)=1),YEAR(A155)+1,IF(AND(MONTH(A155)=1,_xlfn.ISOWEEKNUM(A155)&gt;50),YEAR(A155)-1,YEAR(A155))))</f>
        <v>S26_2025</v>
      </c>
      <c r="C155" s="7" t="n">
        <f aca="false">E155+G155+I155+K155+M155+O155+Q155+S155+U155+W155+Y155+AA155+AC155+AE155+AG155+AI155+AK155</f>
        <v>146</v>
      </c>
      <c r="D155" s="10" t="n">
        <v>0</v>
      </c>
      <c r="E155" s="10" t="n">
        <v>4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2</v>
      </c>
      <c r="N155" s="10" t="n">
        <v>2</v>
      </c>
      <c r="O155" s="10" t="n">
        <v>3</v>
      </c>
      <c r="P155" s="10" t="n">
        <v>0</v>
      </c>
      <c r="Q155" s="10" t="n">
        <v>0</v>
      </c>
      <c r="R155" s="10" t="n">
        <v>0</v>
      </c>
      <c r="S155" s="10" t="n">
        <v>137</v>
      </c>
      <c r="T155" s="10" t="n">
        <v>3</v>
      </c>
    </row>
    <row r="156" customFormat="false" ht="15" hidden="false" customHeight="false" outlineLevel="0" collapsed="false">
      <c r="A156" s="5" t="n">
        <v>45838</v>
      </c>
      <c r="B156" s="5" t="str">
        <f aca="false">CONCATENATE("S",_xlfn.ISOWEEKNUM(A156),"_",IF(AND(MONTH(A156)=12,_xlfn.ISOWEEKNUM(A156)=1),YEAR(A156)+1,IF(AND(MONTH(A156)=1,_xlfn.ISOWEEKNUM(A156)&gt;50),YEAR(A156)-1,YEAR(A156))))</f>
        <v>S27_2025</v>
      </c>
      <c r="C156" s="7" t="n">
        <f aca="false">E156+G156+I156+K156+M156+O156+Q156+S156+U156+W156+Y156+AA156+AC156+AE156+AG156+AI156+AK156</f>
        <v>115</v>
      </c>
      <c r="D156" s="10" t="n">
        <v>0</v>
      </c>
      <c r="E156" s="10" t="n">
        <v>2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1</v>
      </c>
      <c r="P156" s="10" t="n">
        <v>0</v>
      </c>
      <c r="Q156" s="10" t="n">
        <v>0</v>
      </c>
      <c r="R156" s="10" t="n">
        <v>0</v>
      </c>
      <c r="S156" s="10" t="n">
        <v>112</v>
      </c>
      <c r="T156" s="10" t="n">
        <v>4</v>
      </c>
    </row>
    <row r="157" customFormat="false" ht="15" hidden="false" customHeight="false" outlineLevel="0" collapsed="false">
      <c r="A157" s="6" t="n">
        <v>45839</v>
      </c>
      <c r="B157" s="6" t="str">
        <f aca="false">CONCATENATE("S",_xlfn.ISOWEEKNUM(A157),"_",IF(AND(MONTH(A157)=12,_xlfn.ISOWEEKNUM(A157)=1),YEAR(A157)+1,IF(AND(MONTH(A157)=1,_xlfn.ISOWEEKNUM(A157)&gt;50),YEAR(A157)-1,YEAR(A157))))</f>
        <v>S27_2025</v>
      </c>
      <c r="C157" s="7" t="n">
        <f aca="false">E157+G157+I157+K157+M157+O157+Q157+S157+U157+W157+Y157+AA157+AC157+AE157+AG157+AI157+AK157</f>
        <v>165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165</v>
      </c>
      <c r="T157" s="1" t="n">
        <v>10</v>
      </c>
    </row>
    <row r="158" customFormat="false" ht="15" hidden="false" customHeight="false" outlineLevel="0" collapsed="false">
      <c r="A158" s="6" t="n">
        <v>45840</v>
      </c>
      <c r="B158" s="6" t="str">
        <f aca="false">CONCATENATE("S",_xlfn.ISOWEEKNUM(A158),"_",IF(AND(MONTH(A158)=12,_xlfn.ISOWEEKNUM(A158)=1),YEAR(A158)+1,IF(AND(MONTH(A158)=1,_xlfn.ISOWEEKNUM(A158)&gt;50),YEAR(A158)-1,YEAR(A158))))</f>
        <v>S27_2025</v>
      </c>
      <c r="C158" s="7" t="n">
        <f aca="false">E158+G158+I158+K158+M158+O158+Q158+S158+U158+W158+Y158+AA158+AC158+AE158+AG158+AI158+AK158</f>
        <v>134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134</v>
      </c>
      <c r="T158" s="1" t="n">
        <v>6</v>
      </c>
    </row>
    <row r="159" customFormat="false" ht="15" hidden="false" customHeight="false" outlineLevel="0" collapsed="false">
      <c r="A159" s="6" t="n">
        <v>45841</v>
      </c>
      <c r="B159" s="6" t="str">
        <f aca="false">CONCATENATE("S",_xlfn.ISOWEEKNUM(A159),"_",IF(AND(MONTH(A159)=12,_xlfn.ISOWEEKNUM(A159)=1),YEAR(A159)+1,IF(AND(MONTH(A159)=1,_xlfn.ISOWEEKNUM(A159)&gt;50),YEAR(A159)-1,YEAR(A159))))</f>
        <v>S27_2025</v>
      </c>
      <c r="C159" s="7" t="n">
        <f aca="false">E159+G159+I159+K159+M159+O159+Q159+S159+U159+W159+Y159+AA159+AC159+AE159+AG159+AI159+AK159</f>
        <v>241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1</v>
      </c>
      <c r="M159" s="1" t="n">
        <v>1</v>
      </c>
      <c r="N159" s="1" t="n">
        <v>1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240</v>
      </c>
      <c r="T159" s="1" t="n">
        <v>7</v>
      </c>
    </row>
    <row r="160" customFormat="false" ht="15" hidden="false" customHeight="false" outlineLevel="0" collapsed="false">
      <c r="A160" s="6" t="n">
        <v>45842</v>
      </c>
      <c r="B160" s="6" t="str">
        <f aca="false">CONCATENATE("S",_xlfn.ISOWEEKNUM(A160),"_",IF(AND(MONTH(A160)=12,_xlfn.ISOWEEKNUM(A160)=1),YEAR(A160)+1,IF(AND(MONTH(A160)=1,_xlfn.ISOWEEKNUM(A160)&gt;50),YEAR(A160)-1,YEAR(A160))))</f>
        <v>S27_2025</v>
      </c>
      <c r="C160" s="7" t="n">
        <f aca="false">E160+G160+I160+K160+M160+O160+Q160+S160+U160+W160+Y160+AA160+AC160+AE160+AG160+AI160+AK160</f>
        <v>148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2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148</v>
      </c>
      <c r="T160" s="1" t="n">
        <v>30</v>
      </c>
    </row>
    <row r="161" customFormat="false" ht="15" hidden="false" customHeight="false" outlineLevel="0" collapsed="false">
      <c r="A161" s="6" t="n">
        <v>45843</v>
      </c>
      <c r="B161" s="6" t="str">
        <f aca="false">CONCATENATE("S",_xlfn.ISOWEEKNUM(A161),"_",IF(AND(MONTH(A161)=12,_xlfn.ISOWEEKNUM(A161)=1),YEAR(A161)+1,IF(AND(MONTH(A161)=1,_xlfn.ISOWEEKNUM(A161)&gt;50),YEAR(A161)-1,YEAR(A161))))</f>
        <v>S27_2025</v>
      </c>
      <c r="C161" s="7" t="n">
        <f aca="false">E161+G161+I161+K161+M161+O161+Q161+S161+U161+W161+Y161+AA161+AC161+AE161+AG161+AI161+AK161</f>
        <v>185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1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2</v>
      </c>
      <c r="P161" s="1" t="n">
        <v>0</v>
      </c>
      <c r="Q161" s="1" t="n">
        <v>0</v>
      </c>
      <c r="R161" s="1" t="n">
        <v>0</v>
      </c>
      <c r="S161" s="1" t="n">
        <v>183</v>
      </c>
      <c r="T161" s="1" t="n">
        <v>5</v>
      </c>
    </row>
    <row r="162" customFormat="false" ht="15" hidden="false" customHeight="false" outlineLevel="0" collapsed="false">
      <c r="A162" s="6" t="n">
        <v>45844</v>
      </c>
      <c r="B162" s="6" t="str">
        <f aca="false">CONCATENATE("S",_xlfn.ISOWEEKNUM(A162),"_",IF(AND(MONTH(A162)=12,_xlfn.ISOWEEKNUM(A162)=1),YEAR(A162)+1,IF(AND(MONTH(A162)=1,_xlfn.ISOWEEKNUM(A162)&gt;50),YEAR(A162)-1,YEAR(A162))))</f>
        <v>S27_2025</v>
      </c>
      <c r="C162" s="7" t="n">
        <f aca="false">E162+G162+I162+K162+M162+O162+Q162+S162+U162+W162+Y162+AA162+AC162+AE162+AG162+AI162+AK162</f>
        <v>85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85</v>
      </c>
      <c r="T162" s="1" t="n">
        <v>4</v>
      </c>
    </row>
    <row r="163" customFormat="false" ht="15" hidden="false" customHeight="false" outlineLevel="0" collapsed="false">
      <c r="A163" s="6" t="n">
        <v>45845</v>
      </c>
      <c r="B163" s="6" t="str">
        <f aca="false">CONCATENATE("S",_xlfn.ISOWEEKNUM(A163),"_",IF(AND(MONTH(A163)=12,_xlfn.ISOWEEKNUM(A163)=1),YEAR(A163)+1,IF(AND(MONTH(A163)=1,_xlfn.ISOWEEKNUM(A163)&gt;50),YEAR(A163)-1,YEAR(A163))))</f>
        <v>S28_2025</v>
      </c>
      <c r="C163" s="7" t="n">
        <f aca="false">E163+G163+I163+K163+M163+O163+Q163+S163+U163+W163+Y163+AA163+AC163+AE163+AG163+AI163+AK163</f>
        <v>96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5</v>
      </c>
      <c r="P163" s="1" t="n">
        <v>0</v>
      </c>
      <c r="Q163" s="1" t="n">
        <v>0</v>
      </c>
      <c r="R163" s="1" t="n">
        <v>0</v>
      </c>
      <c r="S163" s="1" t="n">
        <v>91</v>
      </c>
      <c r="T163" s="1" t="n">
        <v>13</v>
      </c>
    </row>
    <row r="164" customFormat="false" ht="15" hidden="false" customHeight="false" outlineLevel="0" collapsed="false">
      <c r="A164" s="6" t="n">
        <v>45846</v>
      </c>
      <c r="B164" s="6" t="str">
        <f aca="false">CONCATENATE("S",_xlfn.ISOWEEKNUM(A164),"_",IF(AND(MONTH(A164)=12,_xlfn.ISOWEEKNUM(A164)=1),YEAR(A164)+1,IF(AND(MONTH(A164)=1,_xlfn.ISOWEEKNUM(A164)&gt;50),YEAR(A164)-1,YEAR(A164))))</f>
        <v>S28_2025</v>
      </c>
      <c r="C164" s="7" t="n">
        <f aca="false">E164+G164+I164+K164+M164+O164+Q164+S164+U164+W164+Y164+AA164+AC164+AE164+AG164+AI164+AK164</f>
        <v>204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1</v>
      </c>
      <c r="O164" s="1" t="n">
        <v>1</v>
      </c>
      <c r="P164" s="1" t="n">
        <v>0</v>
      </c>
      <c r="Q164" s="1" t="n">
        <v>0</v>
      </c>
      <c r="R164" s="1" t="n">
        <v>0</v>
      </c>
      <c r="S164" s="1" t="n">
        <v>203</v>
      </c>
      <c r="T164" s="1" t="n">
        <v>7</v>
      </c>
    </row>
    <row r="165" customFormat="false" ht="15" hidden="false" customHeight="false" outlineLevel="0" collapsed="false">
      <c r="A165" s="6" t="n">
        <v>45847</v>
      </c>
      <c r="B165" s="6" t="str">
        <f aca="false">CONCATENATE("S",_xlfn.ISOWEEKNUM(A165),"_",IF(AND(MONTH(A165)=12,_xlfn.ISOWEEKNUM(A165)=1),YEAR(A165)+1,IF(AND(MONTH(A165)=1,_xlfn.ISOWEEKNUM(A165)&gt;50),YEAR(A165)-1,YEAR(A165))))</f>
        <v>S28_2025</v>
      </c>
      <c r="C165" s="7" t="n">
        <f aca="false">E165+G165+I165+K165+M165+O165+Q165+S165+U165+W165+Y165+AA165+AC165+AE165+AG165+AI165+AK165</f>
        <v>111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1</v>
      </c>
      <c r="P165" s="1" t="n">
        <v>0</v>
      </c>
      <c r="Q165" s="1" t="n">
        <v>0</v>
      </c>
      <c r="R165" s="1" t="n">
        <v>0</v>
      </c>
      <c r="S165" s="1" t="n">
        <v>110</v>
      </c>
      <c r="T165" s="1" t="n">
        <v>7</v>
      </c>
    </row>
    <row r="166" customFormat="false" ht="15" hidden="false" customHeight="false" outlineLevel="0" collapsed="false">
      <c r="A166" s="6" t="n">
        <v>45848</v>
      </c>
      <c r="B166" s="6" t="str">
        <f aca="false">CONCATENATE("S",_xlfn.ISOWEEKNUM(A166),"_",IF(AND(MONTH(A166)=12,_xlfn.ISOWEEKNUM(A166)=1),YEAR(A166)+1,IF(AND(MONTH(A166)=1,_xlfn.ISOWEEKNUM(A166)&gt;50),YEAR(A166)-1,YEAR(A166))))</f>
        <v>S28_2025</v>
      </c>
      <c r="C166" s="7" t="n">
        <f aca="false">E166+G166+I166+K166+M166+O166+Q166+S166+U166+W166+Y166+AA166+AC166+AE166+AG166+AI166+AK166</f>
        <v>116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1</v>
      </c>
      <c r="N166" s="1" t="n">
        <v>2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115</v>
      </c>
      <c r="T166" s="1" t="n">
        <v>7</v>
      </c>
    </row>
    <row r="167" customFormat="false" ht="15" hidden="false" customHeight="false" outlineLevel="0" collapsed="false">
      <c r="A167" s="6" t="n">
        <v>45849</v>
      </c>
      <c r="B167" s="6" t="str">
        <f aca="false">CONCATENATE("S",_xlfn.ISOWEEKNUM(A167),"_",IF(AND(MONTH(A167)=12,_xlfn.ISOWEEKNUM(A167)=1),YEAR(A167)+1,IF(AND(MONTH(A167)=1,_xlfn.ISOWEEKNUM(A167)&gt;50),YEAR(A167)-1,YEAR(A167))))</f>
        <v>S28_2025</v>
      </c>
      <c r="C167" s="7" t="n">
        <f aca="false">E167+G167+I167+K167+M167+O167+Q167+S167+U167+W167+Y167+AA167+AC167+AE167+AG167+AI167+AK167</f>
        <v>140</v>
      </c>
      <c r="D167" s="1" t="n">
        <v>0</v>
      </c>
      <c r="E167" s="1" t="n">
        <v>0</v>
      </c>
      <c r="F167" s="1" t="n">
        <v>1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1</v>
      </c>
      <c r="O167" s="1" t="n">
        <v>2</v>
      </c>
      <c r="P167" s="1" t="n">
        <v>0</v>
      </c>
      <c r="Q167" s="1" t="n">
        <v>0</v>
      </c>
      <c r="R167" s="1" t="n">
        <v>0</v>
      </c>
      <c r="S167" s="1" t="n">
        <v>138</v>
      </c>
      <c r="T167" s="1" t="n">
        <v>8</v>
      </c>
    </row>
    <row r="168" customFormat="false" ht="15" hidden="false" customHeight="false" outlineLevel="0" collapsed="false">
      <c r="A168" s="6" t="n">
        <v>45850</v>
      </c>
      <c r="B168" s="6" t="str">
        <f aca="false">CONCATENATE("S",_xlfn.ISOWEEKNUM(A168),"_",IF(AND(MONTH(A168)=12,_xlfn.ISOWEEKNUM(A168)=1),YEAR(A168)+1,IF(AND(MONTH(A168)=1,_xlfn.ISOWEEKNUM(A168)&gt;50),YEAR(A168)-1,YEAR(A168))))</f>
        <v>S28_2025</v>
      </c>
      <c r="C168" s="7" t="n">
        <f aca="false">E168+G168+I168+K168+M168+O168+Q168+S168+U168+W168+Y168+AA168+AC168+AE168+AG168+AI168+AK168</f>
        <v>73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2</v>
      </c>
      <c r="P168" s="1" t="n">
        <v>0</v>
      </c>
      <c r="Q168" s="1" t="n">
        <v>0</v>
      </c>
      <c r="R168" s="1" t="n">
        <v>0</v>
      </c>
      <c r="S168" s="1" t="n">
        <v>71</v>
      </c>
      <c r="T168" s="1" t="n">
        <v>6</v>
      </c>
    </row>
    <row r="169" customFormat="false" ht="15" hidden="false" customHeight="false" outlineLevel="0" collapsed="false">
      <c r="A169" s="6" t="n">
        <v>45851</v>
      </c>
      <c r="B169" s="6" t="str">
        <f aca="false">CONCATENATE("S",_xlfn.ISOWEEKNUM(A169),"_",IF(AND(MONTH(A169)=12,_xlfn.ISOWEEKNUM(A169)=1),YEAR(A169)+1,IF(AND(MONTH(A169)=1,_xlfn.ISOWEEKNUM(A169)&gt;50),YEAR(A169)-1,YEAR(A169))))</f>
        <v>S28_2025</v>
      </c>
      <c r="C169" s="7" t="n">
        <f aca="false">E169+G169+I169+K169+M169+O169+Q169+S169+U169+W169+Y169+AA169+AC169+AE169+AG169+AI169+AK169</f>
        <v>110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110</v>
      </c>
      <c r="T169" s="1" t="n">
        <v>5</v>
      </c>
    </row>
    <row r="170" customFormat="false" ht="15" hidden="false" customHeight="false" outlineLevel="0" collapsed="false">
      <c r="A170" s="6" t="n">
        <v>45852</v>
      </c>
      <c r="B170" s="6" t="str">
        <f aca="false">CONCATENATE("S",_xlfn.ISOWEEKNUM(A170),"_",IF(AND(MONTH(A170)=12,_xlfn.ISOWEEKNUM(A170)=1),YEAR(A170)+1,IF(AND(MONTH(A170)=1,_xlfn.ISOWEEKNUM(A170)&gt;50),YEAR(A170)-1,YEAR(A170))))</f>
        <v>S29_2025</v>
      </c>
      <c r="C170" s="7" t="n">
        <f aca="false">E170+G170+I170+K170+M170+O170+Q170+S170+U170+W170+Y170+AA170+AC170+AE170+AG170+AI170+AK170</f>
        <v>109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2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2</v>
      </c>
      <c r="P170" s="1" t="n">
        <v>0</v>
      </c>
      <c r="Q170" s="1" t="n">
        <v>0</v>
      </c>
      <c r="R170" s="1" t="n">
        <v>0</v>
      </c>
      <c r="S170" s="1" t="n">
        <v>105</v>
      </c>
      <c r="T170" s="1" t="n">
        <v>3</v>
      </c>
    </row>
    <row r="171" customFormat="false" ht="15" hidden="false" customHeight="false" outlineLevel="0" collapsed="false">
      <c r="A171" s="6" t="n">
        <v>45853</v>
      </c>
      <c r="B171" s="6" t="str">
        <f aca="false">CONCATENATE("S",_xlfn.ISOWEEKNUM(A171),"_",IF(AND(MONTH(A171)=12,_xlfn.ISOWEEKNUM(A171)=1),YEAR(A171)+1,IF(AND(MONTH(A171)=1,_xlfn.ISOWEEKNUM(A171)&gt;50),YEAR(A171)-1,YEAR(A171))))</f>
        <v>S29_2025</v>
      </c>
      <c r="C171" s="7" t="n">
        <f aca="false">E171+G171+I171+K171+M171+O171+Q171+S171+U171+W171+Y171+AA171+AC171+AE171+AG171+AI171+AK171</f>
        <v>216</v>
      </c>
      <c r="D171" s="1" t="n">
        <v>0</v>
      </c>
      <c r="E171" s="1" t="n">
        <v>1</v>
      </c>
      <c r="F171" s="1" t="n">
        <v>0</v>
      </c>
      <c r="G171" s="1" t="n">
        <v>0</v>
      </c>
      <c r="H171" s="1" t="n">
        <v>0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1</v>
      </c>
      <c r="O171" s="1" t="n">
        <v>2</v>
      </c>
      <c r="P171" s="1" t="n">
        <v>0</v>
      </c>
      <c r="Q171" s="1" t="n">
        <v>0</v>
      </c>
      <c r="R171" s="1" t="n">
        <v>0</v>
      </c>
      <c r="S171" s="1" t="n">
        <v>212</v>
      </c>
      <c r="T171" s="1" t="n">
        <v>12</v>
      </c>
    </row>
    <row r="172" customFormat="false" ht="15" hidden="false" customHeight="false" outlineLevel="0" collapsed="false">
      <c r="A172" s="6" t="n">
        <v>45854</v>
      </c>
      <c r="B172" s="6" t="str">
        <f aca="false">CONCATENATE("S",_xlfn.ISOWEEKNUM(A172),"_",IF(AND(MONTH(A172)=12,_xlfn.ISOWEEKNUM(A172)=1),YEAR(A172)+1,IF(AND(MONTH(A172)=1,_xlfn.ISOWEEKNUM(A172)&gt;50),YEAR(A172)-1,YEAR(A172))))</f>
        <v>S29_2025</v>
      </c>
      <c r="C172" s="7" t="n">
        <f aca="false">E172+G172+I172+K172+M172+O172+Q172+S172+U172+W172+Y172+AA172+AC172+AE172+AG172+AI172+AK172</f>
        <v>94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1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94</v>
      </c>
      <c r="T172" s="1" t="n">
        <v>10</v>
      </c>
    </row>
    <row r="173" customFormat="false" ht="15" hidden="false" customHeight="false" outlineLevel="0" collapsed="false">
      <c r="A173" s="6" t="n">
        <v>45855</v>
      </c>
      <c r="B173" s="6" t="str">
        <f aca="false">CONCATENATE("S",_xlfn.ISOWEEKNUM(A173),"_",IF(AND(MONTH(A173)=12,_xlfn.ISOWEEKNUM(A173)=1),YEAR(A173)+1,IF(AND(MONTH(A173)=1,_xlfn.ISOWEEKNUM(A173)&gt;50),YEAR(A173)-1,YEAR(A173))))</f>
        <v>S29_2025</v>
      </c>
      <c r="C173" s="7" t="n">
        <f aca="false">E173+G173+I173+K173+M173+O173+Q173+S173+U173+W173+Y173+AA173+AC173+AE173+AG173+AI173+AK173</f>
        <v>121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1</v>
      </c>
      <c r="N173" s="1" t="n">
        <v>1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120</v>
      </c>
      <c r="T173" s="1" t="n">
        <v>5</v>
      </c>
    </row>
    <row r="174" customFormat="false" ht="15" hidden="false" customHeight="false" outlineLevel="0" collapsed="false">
      <c r="A174" s="6" t="n">
        <v>45856</v>
      </c>
      <c r="B174" s="6" t="str">
        <f aca="false">CONCATENATE("S",_xlfn.ISOWEEKNUM(A174),"_",IF(AND(MONTH(A174)=12,_xlfn.ISOWEEKNUM(A174)=1),YEAR(A174)+1,IF(AND(MONTH(A174)=1,_xlfn.ISOWEEKNUM(A174)&gt;50),YEAR(A174)-1,YEAR(A174))))</f>
        <v>S29_2025</v>
      </c>
      <c r="C174" s="7" t="n">
        <f aca="false">E174+G174+I174+K174+M174+O174+Q174+S174+U174+W174+Y174+AA174+AC174+AE174+AG174+AI174+AK174</f>
        <v>178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2</v>
      </c>
      <c r="P174" s="1" t="n">
        <v>0</v>
      </c>
      <c r="Q174" s="1" t="n">
        <v>0</v>
      </c>
      <c r="R174" s="1" t="n">
        <v>0</v>
      </c>
      <c r="S174" s="1" t="n">
        <v>176</v>
      </c>
      <c r="T174" s="1" t="n">
        <v>7</v>
      </c>
    </row>
    <row r="175" customFormat="false" ht="15" hidden="false" customHeight="false" outlineLevel="0" collapsed="false">
      <c r="A175" s="6" t="n">
        <v>45857</v>
      </c>
      <c r="B175" s="6" t="str">
        <f aca="false">CONCATENATE("S",_xlfn.ISOWEEKNUM(A175),"_",IF(AND(MONTH(A175)=12,_xlfn.ISOWEEKNUM(A175)=1),YEAR(A175)+1,IF(AND(MONTH(A175)=1,_xlfn.ISOWEEKNUM(A175)&gt;50),YEAR(A175)-1,YEAR(A175))))</f>
        <v>S29_2025</v>
      </c>
      <c r="C175" s="7" t="n">
        <f aca="false">E175+G175+I175+K175+M175+O175+Q175+S175+U175+W175+Y175+AA175+AC175+AE175+AG175+AI175+AK175</f>
        <v>115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115</v>
      </c>
      <c r="T175" s="1" t="n">
        <v>5</v>
      </c>
    </row>
    <row r="176" customFormat="false" ht="15" hidden="false" customHeight="false" outlineLevel="0" collapsed="false">
      <c r="A176" s="6" t="n">
        <v>45858</v>
      </c>
      <c r="B176" s="6" t="str">
        <f aca="false">CONCATENATE("S",_xlfn.ISOWEEKNUM(A176),"_",IF(AND(MONTH(A176)=12,_xlfn.ISOWEEKNUM(A176)=1),YEAR(A176)+1,IF(AND(MONTH(A176)=1,_xlfn.ISOWEEKNUM(A176)&gt;50),YEAR(A176)-1,YEAR(A176))))</f>
        <v>S29_2025</v>
      </c>
      <c r="C176" s="7" t="n">
        <f aca="false">E176+G176+I176+K176+M176+O176+Q176+S176+U176+W176+Y176+AA176+AC176+AE176+AG176+AI176+AK176</f>
        <v>127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127</v>
      </c>
      <c r="T176" s="1" t="n">
        <v>8</v>
      </c>
    </row>
    <row r="177" customFormat="false" ht="15" hidden="false" customHeight="false" outlineLevel="0" collapsed="false">
      <c r="A177" s="5" t="n">
        <v>45859</v>
      </c>
      <c r="B177" s="6" t="str">
        <f aca="false">CONCATENATE("S",_xlfn.ISOWEEKNUM(A177),"_",IF(AND(MONTH(A177)=12,_xlfn.ISOWEEKNUM(A177)=1),YEAR(A177)+1,IF(AND(MONTH(A177)=1,_xlfn.ISOWEEKNUM(A177)&gt;50),YEAR(A177)-1,YEAR(A177))))</f>
        <v>S30_2025</v>
      </c>
      <c r="C177" s="7" t="n">
        <f aca="false">E177+G177+I177+K177+M177+O177+Q177+S177+U177+W177+Y177+AA177+AC177+AE177+AG177+AI177+AK177</f>
        <v>124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1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123</v>
      </c>
      <c r="T177" s="1" t="n">
        <v>0</v>
      </c>
    </row>
    <row r="178" customFormat="false" ht="15" hidden="false" customHeight="false" outlineLevel="0" collapsed="false">
      <c r="A178" s="5" t="n">
        <v>45860</v>
      </c>
      <c r="B178" s="6" t="str">
        <f aca="false">CONCATENATE("S",_xlfn.ISOWEEKNUM(A178),"_",IF(AND(MONTH(A178)=12,_xlfn.ISOWEEKNUM(A178)=1),YEAR(A178)+1,IF(AND(MONTH(A178)=1,_xlfn.ISOWEEKNUM(A178)&gt;50),YEAR(A178)-1,YEAR(A178))))</f>
        <v>S30_2025</v>
      </c>
      <c r="C178" s="7" t="n">
        <f aca="false">E178+G178+I178+K178+M178+O178+Q178+S178+U178+W178+Y178+AA178+AC178+AE178+AG178+AI178+AK178</f>
        <v>177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1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1</v>
      </c>
      <c r="P178" s="1" t="n">
        <v>0</v>
      </c>
      <c r="Q178" s="1" t="n">
        <v>0</v>
      </c>
      <c r="R178" s="1" t="n">
        <v>0</v>
      </c>
      <c r="S178" s="1" t="n">
        <v>173</v>
      </c>
      <c r="T178" s="1" t="n">
        <v>4</v>
      </c>
    </row>
    <row r="179" customFormat="false" ht="15" hidden="false" customHeight="false" outlineLevel="0" collapsed="false">
      <c r="A179" s="5" t="n">
        <v>45861</v>
      </c>
      <c r="B179" s="6" t="str">
        <f aca="false">CONCATENATE("S",_xlfn.ISOWEEKNUM(A179),"_",IF(AND(MONTH(A179)=12,_xlfn.ISOWEEKNUM(A179)=1),YEAR(A179)+1,IF(AND(MONTH(A179)=1,_xlfn.ISOWEEKNUM(A179)&gt;50),YEAR(A179)-1,YEAR(A179))))</f>
        <v>S30_2025</v>
      </c>
      <c r="C179" s="7" t="n">
        <f aca="false">E179+G179+I179+K179+M179+O179+Q179+S179+U179+W179+Y179+AA179+AC179+AE179+AG179+AI179+AK179</f>
        <v>81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2</v>
      </c>
      <c r="K179" s="1" t="n">
        <v>0</v>
      </c>
      <c r="L179" s="1" t="n">
        <v>0</v>
      </c>
      <c r="M179" s="1" t="n">
        <v>3</v>
      </c>
      <c r="N179" s="1" t="n">
        <v>1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78</v>
      </c>
      <c r="T179" s="1" t="n">
        <v>7</v>
      </c>
    </row>
    <row r="180" customFormat="false" ht="15" hidden="false" customHeight="false" outlineLevel="0" collapsed="false">
      <c r="A180" s="5" t="n">
        <v>45862</v>
      </c>
      <c r="B180" s="6" t="str">
        <f aca="false">CONCATENATE("S",_xlfn.ISOWEEKNUM(A180),"_",IF(AND(MONTH(A180)=12,_xlfn.ISOWEEKNUM(A180)=1),YEAR(A180)+1,IF(AND(MONTH(A180)=1,_xlfn.ISOWEEKNUM(A180)&gt;50),YEAR(A180)-1,YEAR(A180))))</f>
        <v>S30_2025</v>
      </c>
      <c r="C180" s="7" t="n">
        <f aca="false">E180+G180+I180+K180+M180+O180+Q180+S180+U180+W180+Y180+AA180+AC180+AE180+AG180+AI180+AK180</f>
        <v>75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74</v>
      </c>
      <c r="T180" s="1" t="n">
        <v>11</v>
      </c>
    </row>
    <row r="181" customFormat="false" ht="15" hidden="false" customHeight="false" outlineLevel="0" collapsed="false">
      <c r="A181" s="5" t="n">
        <v>45863</v>
      </c>
      <c r="B181" s="6" t="str">
        <f aca="false">CONCATENATE("S",_xlfn.ISOWEEKNUM(A181),"_",IF(AND(MONTH(A181)=12,_xlfn.ISOWEEKNUM(A181)=1),YEAR(A181)+1,IF(AND(MONTH(A181)=1,_xlfn.ISOWEEKNUM(A181)&gt;50),YEAR(A181)-1,YEAR(A181))))</f>
        <v>S30_2025</v>
      </c>
      <c r="C181" s="7" t="n">
        <f aca="false">E181+G181+I181+K181+M181+O181+Q181+S181+U181+W181+Y181+AA181+AC181+AE181+AG181+AI181+AK181</f>
        <v>100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1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99</v>
      </c>
      <c r="T181" s="1" t="n">
        <v>8</v>
      </c>
    </row>
    <row r="182" customFormat="false" ht="15" hidden="false" customHeight="false" outlineLevel="0" collapsed="false">
      <c r="A182" s="5" t="n">
        <v>45864</v>
      </c>
      <c r="B182" s="6" t="str">
        <f aca="false">CONCATENATE("S",_xlfn.ISOWEEKNUM(A182),"_",IF(AND(MONTH(A182)=12,_xlfn.ISOWEEKNUM(A182)=1),YEAR(A182)+1,IF(AND(MONTH(A182)=1,_xlfn.ISOWEEKNUM(A182)&gt;50),YEAR(A182)-1,YEAR(A182))))</f>
        <v>S30_2025</v>
      </c>
      <c r="C182" s="7" t="n">
        <f aca="false">E182+G182+I182+K182+M182+O182+Q182+S182+U182+W182+Y182+AA182+AC182+AE182+AG182+AI182+AK182</f>
        <v>106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4</v>
      </c>
      <c r="J182" s="1" t="n">
        <v>1</v>
      </c>
      <c r="K182" s="1" t="n">
        <v>0</v>
      </c>
      <c r="L182" s="1" t="n">
        <v>1</v>
      </c>
      <c r="M182" s="1" t="n">
        <v>0</v>
      </c>
      <c r="N182" s="1" t="n">
        <v>1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102</v>
      </c>
      <c r="T182" s="1" t="n">
        <v>10</v>
      </c>
    </row>
    <row r="183" customFormat="false" ht="15" hidden="false" customHeight="false" outlineLevel="0" collapsed="false">
      <c r="A183" s="5" t="n">
        <v>45865</v>
      </c>
      <c r="B183" s="6" t="str">
        <f aca="false">CONCATENATE("S",_xlfn.ISOWEEKNUM(A183),"_",IF(AND(MONTH(A183)=12,_xlfn.ISOWEEKNUM(A183)=1),YEAR(A183)+1,IF(AND(MONTH(A183)=1,_xlfn.ISOWEEKNUM(A183)&gt;50),YEAR(A183)-1,YEAR(A183))))</f>
        <v>S30_2025</v>
      </c>
      <c r="C183" s="7" t="n">
        <f aca="false">E183+G183+I183+K183+M183+O183+Q183+S183+U183+W183+Y183+AA183+AC183+AE183+AG183+AI183+AK183</f>
        <v>121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1</v>
      </c>
      <c r="P183" s="1" t="n">
        <v>0</v>
      </c>
      <c r="Q183" s="1" t="n">
        <v>0</v>
      </c>
      <c r="R183" s="1" t="n">
        <v>0</v>
      </c>
      <c r="S183" s="1" t="n">
        <v>120</v>
      </c>
      <c r="T183" s="1" t="n">
        <v>5</v>
      </c>
    </row>
    <row r="184" customFormat="false" ht="15" hidden="false" customHeight="false" outlineLevel="0" collapsed="false">
      <c r="A184" s="5" t="n">
        <v>45866</v>
      </c>
      <c r="B184" s="6" t="str">
        <f aca="false">CONCATENATE("S",_xlfn.ISOWEEKNUM(A184),"_",IF(AND(MONTH(A184)=12,_xlfn.ISOWEEKNUM(A184)=1),YEAR(A184)+1,IF(AND(MONTH(A184)=1,_xlfn.ISOWEEKNUM(A184)&gt;50),YEAR(A184)-1,YEAR(A184))))</f>
        <v>S31_2025</v>
      </c>
      <c r="C184" s="7" t="n">
        <f aca="false">E184+G184+I184+K184+M184+O184+Q184+S184+U184+W184+Y184+AA184+AC184+AE184+AG184+AI184+AK184</f>
        <v>109</v>
      </c>
      <c r="D184" s="1" t="n">
        <v>0</v>
      </c>
      <c r="E184" s="1" t="n">
        <v>4</v>
      </c>
      <c r="F184" s="1" t="n">
        <v>2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105</v>
      </c>
      <c r="T184" s="1" t="n">
        <v>5</v>
      </c>
    </row>
    <row r="185" customFormat="false" ht="15" hidden="false" customHeight="false" outlineLevel="0" collapsed="false">
      <c r="A185" s="5" t="n">
        <v>45867</v>
      </c>
      <c r="B185" s="6" t="str">
        <f aca="false">CONCATENATE("S",_xlfn.ISOWEEKNUM(A185),"_",IF(AND(MONTH(A185)=12,_xlfn.ISOWEEKNUM(A185)=1),YEAR(A185)+1,IF(AND(MONTH(A185)=1,_xlfn.ISOWEEKNUM(A185)&gt;50),YEAR(A185)-1,YEAR(A185))))</f>
        <v>S31_2025</v>
      </c>
      <c r="C185" s="7" t="n">
        <f aca="false">E185+G185+I185+K185+M185+O185+Q185+S185+U185+W185+Y185+AA185+AC185+AE185+AG185+AI185+AK185</f>
        <v>144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144</v>
      </c>
      <c r="T185" s="1" t="n">
        <v>3</v>
      </c>
    </row>
    <row r="186" customFormat="false" ht="15" hidden="false" customHeight="false" outlineLevel="0" collapsed="false">
      <c r="A186" s="5" t="n">
        <v>45868</v>
      </c>
      <c r="B186" s="6" t="str">
        <f aca="false">CONCATENATE("S",_xlfn.ISOWEEKNUM(A186),"_",IF(AND(MONTH(A186)=12,_xlfn.ISOWEEKNUM(A186)=1),YEAR(A186)+1,IF(AND(MONTH(A186)=1,_xlfn.ISOWEEKNUM(A186)&gt;50),YEAR(A186)-1,YEAR(A186))))</f>
        <v>S31_2025</v>
      </c>
      <c r="C186" s="7" t="n">
        <f aca="false">E186+G186+I186+K186+M186+O186+Q186+S186+U186+W186+Y186+AA186+AC186+AE186+AG186+AI186+AK186</f>
        <v>190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190</v>
      </c>
      <c r="T186" s="1" t="n">
        <v>9</v>
      </c>
    </row>
    <row r="187" customFormat="false" ht="15" hidden="false" customHeight="false" outlineLevel="0" collapsed="false">
      <c r="A187" s="5" t="n">
        <v>45869</v>
      </c>
      <c r="B187" s="6" t="str">
        <f aca="false">CONCATENATE("S",_xlfn.ISOWEEKNUM(A187),"_",IF(AND(MONTH(A187)=12,_xlfn.ISOWEEKNUM(A187)=1),YEAR(A187)+1,IF(AND(MONTH(A187)=1,_xlfn.ISOWEEKNUM(A187)&gt;50),YEAR(A187)-1,YEAR(A187))))</f>
        <v>S31_2025</v>
      </c>
      <c r="C187" s="7" t="n">
        <f aca="false">E187+G187+I187+K187+M187+O187+Q187+S187+U187+W187+Y187+AA187+AC187+AE187+AG187+AI187+AK187</f>
        <v>132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132</v>
      </c>
      <c r="T187" s="1" t="n">
        <v>12</v>
      </c>
    </row>
    <row r="188" customFormat="false" ht="15" hidden="false" customHeight="false" outlineLevel="0" collapsed="false">
      <c r="A188" s="5" t="n">
        <v>45870</v>
      </c>
      <c r="B188" s="6" t="str">
        <f aca="false">CONCATENATE("S",_xlfn.ISOWEEKNUM(A188),"_",IF(AND(MONTH(A188)=12,_xlfn.ISOWEEKNUM(A188)=1),YEAR(A188)+1,IF(AND(MONTH(A188)=1,_xlfn.ISOWEEKNUM(A188)&gt;50),YEAR(A188)-1,YEAR(A188))))</f>
        <v>S31_2025</v>
      </c>
      <c r="C188" s="7" t="n">
        <f aca="false">E188+G188+I188+K188+M188+O188+Q188+S188+U188+W188+Y188+AA188+AC188+AE188+AG188+AI188+AK188</f>
        <v>70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70</v>
      </c>
      <c r="T188" s="1" t="n">
        <v>5</v>
      </c>
    </row>
    <row r="189" customFormat="false" ht="15" hidden="false" customHeight="false" outlineLevel="0" collapsed="false">
      <c r="A189" s="5" t="n">
        <v>45871</v>
      </c>
      <c r="B189" s="6" t="str">
        <f aca="false">CONCATENATE("S",_xlfn.ISOWEEKNUM(A189),"_",IF(AND(MONTH(A189)=12,_xlfn.ISOWEEKNUM(A189)=1),YEAR(A189)+1,IF(AND(MONTH(A189)=1,_xlfn.ISOWEEKNUM(A189)&gt;50),YEAR(A189)-1,YEAR(A189))))</f>
        <v>S31_2025</v>
      </c>
      <c r="C189" s="7" t="n">
        <f aca="false">E189+G189+I189+K189+M189+O189+Q189+S189+U189+W189+Y189+AA189+AC189+AE189+AG189+AI189+AK189</f>
        <v>120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120</v>
      </c>
      <c r="T189" s="1" t="n">
        <v>11</v>
      </c>
    </row>
    <row r="190" customFormat="false" ht="15" hidden="false" customHeight="false" outlineLevel="0" collapsed="false">
      <c r="A190" s="5" t="n">
        <v>45872</v>
      </c>
      <c r="B190" s="6" t="str">
        <f aca="false">CONCATENATE("S",_xlfn.ISOWEEKNUM(A190),"_",IF(AND(MONTH(A190)=12,_xlfn.ISOWEEKNUM(A190)=1),YEAR(A190)+1,IF(AND(MONTH(A190)=1,_xlfn.ISOWEEKNUM(A190)&gt;50),YEAR(A190)-1,YEAR(A190))))</f>
        <v>S31_2025</v>
      </c>
      <c r="C190" s="7" t="n">
        <f aca="false">E190+G190+I190+K190+M190+O190+Q190+S190+U190+W190+Y190+AA190+AC190+AE190+AG190+AI190+AK190</f>
        <v>102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102</v>
      </c>
      <c r="T190" s="1" t="n">
        <v>9</v>
      </c>
    </row>
    <row r="191" customFormat="false" ht="15" hidden="false" customHeight="false" outlineLevel="0" collapsed="false">
      <c r="A191" s="5" t="n">
        <v>45873</v>
      </c>
      <c r="B191" s="6" t="str">
        <f aca="false">CONCATENATE("S",_xlfn.ISOWEEKNUM(A191),"_",IF(AND(MONTH(A191)=12,_xlfn.ISOWEEKNUM(A191)=1),YEAR(A191)+1,IF(AND(MONTH(A191)=1,_xlfn.ISOWEEKNUM(A191)&gt;50),YEAR(A191)-1,YEAR(A191))))</f>
        <v>S32_2025</v>
      </c>
      <c r="C191" s="7" t="n">
        <f aca="false">E191+G191+I191+K191+M191+O191+Q191+S191+U191+W191+Y191+AA191+AC191+AE191+AG191+AI191+AK191</f>
        <v>111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111</v>
      </c>
      <c r="T191" s="1" t="n">
        <v>6</v>
      </c>
    </row>
    <row r="192" customFormat="false" ht="15" hidden="false" customHeight="false" outlineLevel="0" collapsed="false">
      <c r="A192" s="5" t="n">
        <v>45874</v>
      </c>
      <c r="B192" s="6" t="str">
        <f aca="false">CONCATENATE("S",_xlfn.ISOWEEKNUM(A192),"_",IF(AND(MONTH(A192)=12,_xlfn.ISOWEEKNUM(A192)=1),YEAR(A192)+1,IF(AND(MONTH(A192)=1,_xlfn.ISOWEEKNUM(A192)&gt;50),YEAR(A192)-1,YEAR(A192))))</f>
        <v>S32_2025</v>
      </c>
      <c r="C192" s="7" t="n">
        <f aca="false">E192+G192+I192+K192+M192+O192+Q192+S192+U192+W192+Y192+AA192+AC192+AE192+AG192+AI192+AK192</f>
        <v>198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198</v>
      </c>
      <c r="T192" s="1" t="n">
        <v>6</v>
      </c>
    </row>
    <row r="193" customFormat="false" ht="15" hidden="false" customHeight="false" outlineLevel="0" collapsed="false">
      <c r="A193" s="5" t="n">
        <v>45875</v>
      </c>
      <c r="B193" s="6" t="str">
        <f aca="false">CONCATENATE("S",_xlfn.ISOWEEKNUM(A193),"_",IF(AND(MONTH(A193)=12,_xlfn.ISOWEEKNUM(A193)=1),YEAR(A193)+1,IF(AND(MONTH(A193)=1,_xlfn.ISOWEEKNUM(A193)&gt;50),YEAR(A193)-1,YEAR(A193))))</f>
        <v>S32_2025</v>
      </c>
      <c r="C193" s="7" t="n">
        <f aca="false">E193+G193+I193+K193+M193+O193+Q193+S193+U193+W193+Y193+AA193+AC193+AE193+AG193+AI193+AK193</f>
        <v>145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145</v>
      </c>
      <c r="T193" s="1" t="n">
        <v>10</v>
      </c>
    </row>
    <row r="194" customFormat="false" ht="15" hidden="false" customHeight="false" outlineLevel="0" collapsed="false">
      <c r="A194" s="5" t="n">
        <v>45876</v>
      </c>
      <c r="B194" s="6" t="str">
        <f aca="false">CONCATENATE("S",_xlfn.ISOWEEKNUM(A194),"_",IF(AND(MONTH(A194)=12,_xlfn.ISOWEEKNUM(A194)=1),YEAR(A194)+1,IF(AND(MONTH(A194)=1,_xlfn.ISOWEEKNUM(A194)&gt;50),YEAR(A194)-1,YEAR(A194))))</f>
        <v>S32_2025</v>
      </c>
      <c r="C194" s="7" t="n">
        <f aca="false">E194+G194+I194+K194+M194+O194+Q194+S194+U194+W194+Y194+AA194+AC194+AE194+AG194+AI194+AK194</f>
        <v>153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1</v>
      </c>
      <c r="M194" s="1" t="n">
        <v>0</v>
      </c>
      <c r="N194" s="1" t="n">
        <v>0</v>
      </c>
      <c r="O194" s="1" t="n">
        <v>1</v>
      </c>
      <c r="P194" s="1" t="n">
        <v>0</v>
      </c>
      <c r="Q194" s="1" t="n">
        <v>0</v>
      </c>
      <c r="R194" s="1" t="n">
        <v>0</v>
      </c>
      <c r="S194" s="1" t="n">
        <v>152</v>
      </c>
      <c r="T194" s="1" t="n">
        <v>4</v>
      </c>
    </row>
    <row r="195" customFormat="false" ht="15" hidden="false" customHeight="false" outlineLevel="0" collapsed="false">
      <c r="A195" s="5" t="n">
        <v>45877</v>
      </c>
      <c r="B195" s="6" t="str">
        <f aca="false">CONCATENATE("S",_xlfn.ISOWEEKNUM(A195),"_",IF(AND(MONTH(A195)=12,_xlfn.ISOWEEKNUM(A195)=1),YEAR(A195)+1,IF(AND(MONTH(A195)=1,_xlfn.ISOWEEKNUM(A195)&gt;50),YEAR(A195)-1,YEAR(A195))))</f>
        <v>S32_2025</v>
      </c>
      <c r="C195" s="7" t="n">
        <f aca="false">E195+G195+I195+K195+M195+O195+Q195+S195+U195+W195+Y195+AA195+AC195+AE195+AG195+AI195+AK195</f>
        <v>72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70</v>
      </c>
      <c r="T195" s="1" t="n">
        <v>4</v>
      </c>
    </row>
    <row r="196" customFormat="false" ht="15" hidden="false" customHeight="false" outlineLevel="0" collapsed="false">
      <c r="A196" s="5" t="n">
        <v>45878</v>
      </c>
      <c r="B196" s="6" t="str">
        <f aca="false">CONCATENATE("S",_xlfn.ISOWEEKNUM(A196),"_",IF(AND(MONTH(A196)=12,_xlfn.ISOWEEKNUM(A196)=1),YEAR(A196)+1,IF(AND(MONTH(A196)=1,_xlfn.ISOWEEKNUM(A196)&gt;50),YEAR(A196)-1,YEAR(A196))))</f>
        <v>S32_2025</v>
      </c>
      <c r="C196" s="7" t="n">
        <f aca="false">E196+G196+I196+K196+M196+O196+Q196+S196+U196+W196+Y196+AA196+AC196+AE196+AG196+AI196+AK196</f>
        <v>130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2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3</v>
      </c>
      <c r="P196" s="1" t="n">
        <v>0</v>
      </c>
      <c r="Q196" s="1" t="n">
        <v>0</v>
      </c>
      <c r="R196" s="1" t="n">
        <v>0</v>
      </c>
      <c r="S196" s="1" t="n">
        <v>125</v>
      </c>
      <c r="T196" s="1" t="n">
        <v>9</v>
      </c>
    </row>
    <row r="197" customFormat="false" ht="15" hidden="false" customHeight="false" outlineLevel="0" collapsed="false">
      <c r="A197" s="5" t="n">
        <v>45879</v>
      </c>
      <c r="B197" s="6" t="str">
        <f aca="false">CONCATENATE("S",_xlfn.ISOWEEKNUM(A197),"_",IF(AND(MONTH(A197)=12,_xlfn.ISOWEEKNUM(A197)=1),YEAR(A197)+1,IF(AND(MONTH(A197)=1,_xlfn.ISOWEEKNUM(A197)&gt;50),YEAR(A197)-1,YEAR(A197))))</f>
        <v>S32_2025</v>
      </c>
      <c r="C197" s="7" t="n">
        <f aca="false">E197+G197+I197+K197+M197+O197+Q197+S197+U197+W197+Y197+AA197+AC197+AE197+AG197+AI197+AK197</f>
        <v>76</v>
      </c>
      <c r="D197" s="1" t="n">
        <v>0</v>
      </c>
      <c r="E197" s="1" t="n">
        <v>4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1</v>
      </c>
      <c r="K197" s="1" t="n">
        <v>0</v>
      </c>
      <c r="L197" s="1" t="n">
        <v>1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72</v>
      </c>
      <c r="T197" s="1" t="n">
        <v>4</v>
      </c>
    </row>
    <row r="198" customFormat="false" ht="15" hidden="false" customHeight="false" outlineLevel="0" collapsed="false">
      <c r="A198" s="5" t="n">
        <v>45880</v>
      </c>
      <c r="B198" s="6" t="str">
        <f aca="false">CONCATENATE("S",_xlfn.ISOWEEKNUM(A198),"_",IF(AND(MONTH(A198)=12,_xlfn.ISOWEEKNUM(A198)=1),YEAR(A198)+1,IF(AND(MONTH(A198)=1,_xlfn.ISOWEEKNUM(A198)&gt;50),YEAR(A198)-1,YEAR(A198))))</f>
        <v>S33_2025</v>
      </c>
      <c r="C198" s="7" t="n">
        <f aca="false">E198+G198+I198+K198+M198+O198+Q198+S198+U198+W198+Y198+AA198+AC198+AE198+AG198+AI198+AK198</f>
        <v>158</v>
      </c>
      <c r="D198" s="1" t="n">
        <v>0</v>
      </c>
      <c r="E198" s="1" t="n">
        <v>1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2</v>
      </c>
      <c r="P198" s="1" t="n">
        <v>0</v>
      </c>
      <c r="Q198" s="1" t="n">
        <v>0</v>
      </c>
      <c r="R198" s="1" t="n">
        <v>0</v>
      </c>
      <c r="S198" s="1" t="n">
        <v>155</v>
      </c>
      <c r="T198" s="1" t="n">
        <v>8</v>
      </c>
    </row>
    <row r="199" customFormat="false" ht="15" hidden="false" customHeight="false" outlineLevel="0" collapsed="false">
      <c r="A199" s="5" t="n">
        <v>45881</v>
      </c>
      <c r="B199" s="6" t="str">
        <f aca="false">CONCATENATE("S",_xlfn.ISOWEEKNUM(A199),"_",IF(AND(MONTH(A199)=12,_xlfn.ISOWEEKNUM(A199)=1),YEAR(A199)+1,IF(AND(MONTH(A199)=1,_xlfn.ISOWEEKNUM(A199)&gt;50),YEAR(A199)-1,YEAR(A199))))</f>
        <v>S33_2025</v>
      </c>
      <c r="C199" s="7" t="n">
        <f aca="false">E199+G199+I199+K199+M199+O199+Q199+S199+U199+W199+Y199+AA199+AC199+AE199+AG199+AI199+AK199</f>
        <v>77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77</v>
      </c>
      <c r="T199" s="1" t="n">
        <v>6</v>
      </c>
    </row>
    <row r="200" customFormat="false" ht="15" hidden="false" customHeight="false" outlineLevel="0" collapsed="false">
      <c r="A200" s="5" t="n">
        <v>45882</v>
      </c>
      <c r="B200" s="6" t="str">
        <f aca="false">CONCATENATE("S",_xlfn.ISOWEEKNUM(A200),"_",IF(AND(MONTH(A200)=12,_xlfn.ISOWEEKNUM(A200)=1),YEAR(A200)+1,IF(AND(MONTH(A200)=1,_xlfn.ISOWEEKNUM(A200)&gt;50),YEAR(A200)-1,YEAR(A200))))</f>
        <v>S33_2025</v>
      </c>
      <c r="C200" s="7" t="n">
        <f aca="false">E200+G200+I200+K200+M200+O200+Q200+S200+U200+W200+Y200+AA200+AC200+AE200+AG200+AI200+AK200</f>
        <v>219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2</v>
      </c>
      <c r="P200" s="1" t="n">
        <v>0</v>
      </c>
      <c r="Q200" s="1" t="n">
        <v>0</v>
      </c>
      <c r="R200" s="1" t="n">
        <v>0</v>
      </c>
      <c r="S200" s="1" t="n">
        <v>217</v>
      </c>
      <c r="T200" s="1" t="n">
        <v>13</v>
      </c>
    </row>
    <row r="201" customFormat="false" ht="15" hidden="false" customHeight="false" outlineLevel="0" collapsed="false">
      <c r="A201" s="5" t="n">
        <v>45883</v>
      </c>
      <c r="B201" s="6" t="str">
        <f aca="false">CONCATENATE("S",_xlfn.ISOWEEKNUM(A201),"_",IF(AND(MONTH(A201)=12,_xlfn.ISOWEEKNUM(A201)=1),YEAR(A201)+1,IF(AND(MONTH(A201)=1,_xlfn.ISOWEEKNUM(A201)&gt;50),YEAR(A201)-1,YEAR(A201))))</f>
        <v>S33_2025</v>
      </c>
      <c r="C201" s="7" t="n">
        <f aca="false">E201+G201+I201+K201+M201+O201+Q201+S201+U201+W201+Y201+AA201+AC201+AE201+AG201+AI201+AK201</f>
        <v>166</v>
      </c>
      <c r="D201" s="1" t="n">
        <v>1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3</v>
      </c>
      <c r="J201" s="1" t="n">
        <v>0</v>
      </c>
      <c r="K201" s="1" t="n">
        <v>0</v>
      </c>
      <c r="L201" s="1" t="n">
        <v>0</v>
      </c>
      <c r="M201" s="1" t="n">
        <v>6</v>
      </c>
      <c r="N201" s="1" t="n">
        <v>0</v>
      </c>
      <c r="O201" s="1" t="n">
        <v>2</v>
      </c>
      <c r="P201" s="1" t="n">
        <v>2</v>
      </c>
      <c r="Q201" s="1" t="n">
        <v>0</v>
      </c>
      <c r="R201" s="1" t="n">
        <v>0</v>
      </c>
      <c r="S201" s="1" t="n">
        <v>155</v>
      </c>
      <c r="T201" s="1" t="n">
        <v>9</v>
      </c>
    </row>
    <row r="202" customFormat="false" ht="15" hidden="false" customHeight="false" outlineLevel="0" collapsed="false">
      <c r="A202" s="5" t="n">
        <v>45884</v>
      </c>
      <c r="B202" s="6" t="str">
        <f aca="false">CONCATENATE("S",_xlfn.ISOWEEKNUM(A202),"_",IF(AND(MONTH(A202)=12,_xlfn.ISOWEEKNUM(A202)=1),YEAR(A202)+1,IF(AND(MONTH(A202)=1,_xlfn.ISOWEEKNUM(A202)&gt;50),YEAR(A202)-1,YEAR(A202))))</f>
        <v>S33_2025</v>
      </c>
      <c r="C202" s="7" t="n">
        <f aca="false">E202+G202+I202+K202+M202+O202+Q202+S202+U202+W202+Y202+AA202+AC202+AE202+AG202+AI202+AK202</f>
        <v>144</v>
      </c>
      <c r="D202" s="1" t="n">
        <v>0</v>
      </c>
      <c r="E202" s="1" t="n">
        <v>3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2</v>
      </c>
      <c r="O202" s="1" t="n">
        <v>1</v>
      </c>
      <c r="P202" s="1" t="n">
        <v>0</v>
      </c>
      <c r="Q202" s="1" t="n">
        <v>0</v>
      </c>
      <c r="R202" s="1" t="n">
        <v>0</v>
      </c>
      <c r="S202" s="1" t="n">
        <v>140</v>
      </c>
      <c r="T202" s="1" t="n">
        <v>12</v>
      </c>
    </row>
    <row r="203" customFormat="false" ht="15" hidden="false" customHeight="false" outlineLevel="0" collapsed="false">
      <c r="A203" s="5" t="n">
        <v>45885</v>
      </c>
      <c r="B203" s="6" t="str">
        <f aca="false">CONCATENATE("S",_xlfn.ISOWEEKNUM(A203),"_",IF(AND(MONTH(A203)=12,_xlfn.ISOWEEKNUM(A203)=1),YEAR(A203)+1,IF(AND(MONTH(A203)=1,_xlfn.ISOWEEKNUM(A203)&gt;50),YEAR(A203)-1,YEAR(A203))))</f>
        <v>S33_2025</v>
      </c>
      <c r="C203" s="7" t="n">
        <f aca="false">E203+G203+I203+K203+M203+O203+Q203+S203+U203+W203+Y203+AA203+AC203+AE203+AG203+AI203+AK203</f>
        <v>103</v>
      </c>
      <c r="D203" s="1" t="n">
        <v>0</v>
      </c>
      <c r="E203" s="1" t="n">
        <v>4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2</v>
      </c>
      <c r="O203" s="1" t="n">
        <v>2</v>
      </c>
      <c r="P203" s="1" t="n">
        <v>0</v>
      </c>
      <c r="Q203" s="1" t="n">
        <v>0</v>
      </c>
      <c r="R203" s="1" t="n">
        <v>0</v>
      </c>
      <c r="S203" s="1" t="n">
        <v>97</v>
      </c>
      <c r="T203" s="1" t="n">
        <v>5</v>
      </c>
    </row>
    <row r="204" customFormat="false" ht="15" hidden="false" customHeight="false" outlineLevel="0" collapsed="false">
      <c r="A204" s="5" t="n">
        <v>45886</v>
      </c>
      <c r="B204" s="6" t="str">
        <f aca="false">CONCATENATE("S",_xlfn.ISOWEEKNUM(A204),"_",IF(AND(MONTH(A204)=12,_xlfn.ISOWEEKNUM(A204)=1),YEAR(A204)+1,IF(AND(MONTH(A204)=1,_xlfn.ISOWEEKNUM(A204)&gt;50),YEAR(A204)-1,YEAR(A204))))</f>
        <v>S33_2025</v>
      </c>
      <c r="C204" s="7" t="n">
        <f aca="false">E204+G204+I204+K204+M204+O204+Q204+S204+U204+W204+Y204+AA204+AC204+AE204+AG204+AI204+AK204</f>
        <v>60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2</v>
      </c>
      <c r="P204" s="1" t="n">
        <v>0</v>
      </c>
      <c r="Q204" s="1" t="n">
        <v>0</v>
      </c>
      <c r="R204" s="1" t="n">
        <v>0</v>
      </c>
      <c r="S204" s="1" t="n">
        <v>58</v>
      </c>
      <c r="T204" s="1" t="n">
        <v>7</v>
      </c>
    </row>
    <row r="205" customFormat="false" ht="15" hidden="false" customHeight="false" outlineLevel="0" collapsed="false">
      <c r="A205" s="5" t="n">
        <v>45887</v>
      </c>
      <c r="B205" s="6" t="str">
        <f aca="false">CONCATENATE("S",_xlfn.ISOWEEKNUM(A205),"_",IF(AND(MONTH(A205)=12,_xlfn.ISOWEEKNUM(A205)=1),YEAR(A205)+1,IF(AND(MONTH(A205)=1,_xlfn.ISOWEEKNUM(A205)&gt;50),YEAR(A205)-1,YEAR(A205))))</f>
        <v>S34_2025</v>
      </c>
      <c r="C205" s="7" t="n">
        <f aca="false">E205+G205+I205+K205+M205+O205+Q205+S205+U205+W205+Y205+AA205+AC205+AE205+AG205+AI205+AK205</f>
        <v>162</v>
      </c>
      <c r="D205" s="1" t="n">
        <v>1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2</v>
      </c>
      <c r="J205" s="1" t="n">
        <v>3</v>
      </c>
      <c r="K205" s="1" t="n">
        <v>0</v>
      </c>
      <c r="L205" s="1" t="n">
        <v>1</v>
      </c>
      <c r="M205" s="1" t="n">
        <v>0</v>
      </c>
      <c r="N205" s="1" t="n">
        <v>0</v>
      </c>
      <c r="O205" s="1" t="n">
        <v>3</v>
      </c>
      <c r="P205" s="1" t="n">
        <v>0</v>
      </c>
      <c r="Q205" s="1" t="n">
        <v>0</v>
      </c>
      <c r="R205" s="1" t="n">
        <v>0</v>
      </c>
      <c r="S205" s="1" t="n">
        <v>157</v>
      </c>
      <c r="T205" s="1" t="n">
        <v>15</v>
      </c>
    </row>
    <row r="206" customFormat="false" ht="15" hidden="false" customHeight="false" outlineLevel="0" collapsed="false">
      <c r="A206" s="5" t="n">
        <v>45888</v>
      </c>
      <c r="B206" s="6" t="str">
        <f aca="false">CONCATENATE("S",_xlfn.ISOWEEKNUM(A206),"_",IF(AND(MONTH(A206)=12,_xlfn.ISOWEEKNUM(A206)=1),YEAR(A206)+1,IF(AND(MONTH(A206)=1,_xlfn.ISOWEEKNUM(A206)&gt;50),YEAR(A206)-1,YEAR(A206))))</f>
        <v>S34_2025</v>
      </c>
      <c r="C206" s="7" t="n">
        <f aca="false">E206+G206+I206+K206+M206+O206+Q206+S206+U206+W206+Y206+AA206+AC206+AE206+AG206+AI206+AK206</f>
        <v>190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2</v>
      </c>
      <c r="J206" s="1" t="n">
        <v>3</v>
      </c>
      <c r="K206" s="1" t="n">
        <v>0</v>
      </c>
      <c r="L206" s="1" t="n">
        <v>1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188</v>
      </c>
      <c r="T206" s="1" t="n">
        <v>5</v>
      </c>
    </row>
    <row r="207" customFormat="false" ht="15" hidden="false" customHeight="false" outlineLevel="0" collapsed="false">
      <c r="A207" s="5" t="n">
        <v>45889</v>
      </c>
      <c r="B207" s="6" t="str">
        <f aca="false">CONCATENATE("S",_xlfn.ISOWEEKNUM(A207),"_",IF(AND(MONTH(A207)=12,_xlfn.ISOWEEKNUM(A207)=1),YEAR(A207)+1,IF(AND(MONTH(A207)=1,_xlfn.ISOWEEKNUM(A207)&gt;50),YEAR(A207)-1,YEAR(A207))))</f>
        <v>S34_2025</v>
      </c>
      <c r="C207" s="7" t="n">
        <f aca="false">E207+G207+I207+K207+M207+O207+Q207+S207+U207+W207+Y207+AA207+AC207+AE207+AG207+AI207+AK207</f>
        <v>140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140</v>
      </c>
      <c r="T207" s="1" t="n">
        <v>4</v>
      </c>
    </row>
    <row r="208" customFormat="false" ht="15" hidden="false" customHeight="false" outlineLevel="0" collapsed="false">
      <c r="A208" s="5" t="n">
        <v>45890</v>
      </c>
      <c r="B208" s="6" t="str">
        <f aca="false">CONCATENATE("S",_xlfn.ISOWEEKNUM(A208),"_",IF(AND(MONTH(A208)=12,_xlfn.ISOWEEKNUM(A208)=1),YEAR(A208)+1,IF(AND(MONTH(A208)=1,_xlfn.ISOWEEKNUM(A208)&gt;50),YEAR(A208)-1,YEAR(A208))))</f>
        <v>S34_2025</v>
      </c>
      <c r="C208" s="7" t="n">
        <f aca="false">E208+G208+I208+K208+M208+O208+Q208+S208+U208+W208+Y208+AA208+AC208+AE208+AG208+AI208+AK208</f>
        <v>149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4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145</v>
      </c>
      <c r="T208" s="1" t="n">
        <v>31</v>
      </c>
    </row>
    <row r="209" customFormat="false" ht="15" hidden="false" customHeight="false" outlineLevel="0" collapsed="false">
      <c r="A209" s="5" t="n">
        <v>45891</v>
      </c>
      <c r="B209" s="6" t="str">
        <f aca="false">CONCATENATE("S",_xlfn.ISOWEEKNUM(A209),"_",IF(AND(MONTH(A209)=12,_xlfn.ISOWEEKNUM(A209)=1),YEAR(A209)+1,IF(AND(MONTH(A209)=1,_xlfn.ISOWEEKNUM(A209)&gt;50),YEAR(A209)-1,YEAR(A209))))</f>
        <v>S34_2025</v>
      </c>
      <c r="C209" s="7" t="n">
        <f aca="false">E209+G209+I209+K209+M209+O209+Q209+S209+U209+W209+Y209+AA209+AC209+AE209+AG209+AI209+AK209</f>
        <v>129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3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129</v>
      </c>
      <c r="T209" s="1" t="n">
        <v>14</v>
      </c>
    </row>
    <row r="210" customFormat="false" ht="15" hidden="false" customHeight="false" outlineLevel="0" collapsed="false">
      <c r="A210" s="5" t="n">
        <v>45892</v>
      </c>
      <c r="B210" s="6" t="str">
        <f aca="false">CONCATENATE("S",_xlfn.ISOWEEKNUM(A210),"_",IF(AND(MONTH(A210)=12,_xlfn.ISOWEEKNUM(A210)=1),YEAR(A210)+1,IF(AND(MONTH(A210)=1,_xlfn.ISOWEEKNUM(A210)&gt;50),YEAR(A210)-1,YEAR(A210))))</f>
        <v>S34_2025</v>
      </c>
      <c r="C210" s="7" t="n">
        <f aca="false">E210+G210+I210+K210+M210+O210+Q210+S210+U210+W210+Y210+AA210+AC210+AE210+AG210+AI210+AK210</f>
        <v>127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2</v>
      </c>
      <c r="K210" s="1" t="n">
        <v>0</v>
      </c>
      <c r="L210" s="1" t="n">
        <v>0</v>
      </c>
      <c r="M210" s="1" t="n">
        <v>4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123</v>
      </c>
      <c r="T210" s="1" t="n">
        <v>25</v>
      </c>
    </row>
    <row r="211" customFormat="false" ht="15" hidden="false" customHeight="false" outlineLevel="0" collapsed="false">
      <c r="A211" s="5" t="n">
        <v>45893</v>
      </c>
      <c r="B211" s="6" t="str">
        <f aca="false">CONCATENATE("S",_xlfn.ISOWEEKNUM(A211),"_",IF(AND(MONTH(A211)=12,_xlfn.ISOWEEKNUM(A211)=1),YEAR(A211)+1,IF(AND(MONTH(A211)=1,_xlfn.ISOWEEKNUM(A211)&gt;50),YEAR(A211)-1,YEAR(A211))))</f>
        <v>S34_2025</v>
      </c>
      <c r="C211" s="7" t="n">
        <f aca="false">E211+G211+I211+K211+M211+O211+Q211+S211+U211+W211+Y211+AA211+AC211+AE211+AG211+AI211+AK211</f>
        <v>20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20</v>
      </c>
      <c r="T211" s="1" t="n">
        <v>20</v>
      </c>
    </row>
    <row r="212" customFormat="false" ht="15" hidden="false" customHeight="false" outlineLevel="0" collapsed="false">
      <c r="A212" s="5" t="n">
        <v>45894</v>
      </c>
      <c r="B212" s="6" t="str">
        <f aca="false">CONCATENATE("S",_xlfn.ISOWEEKNUM(A212),"_",IF(AND(MONTH(A212)=12,_xlfn.ISOWEEKNUM(A212)=1),YEAR(A212)+1,IF(AND(MONTH(A212)=1,_xlfn.ISOWEEKNUM(A212)&gt;50),YEAR(A212)-1,YEAR(A212))))</f>
        <v>S35_2025</v>
      </c>
      <c r="C212" s="7" t="n">
        <f aca="false">E212+G212+I212+K212+M212+O212+Q212+S212+U212+W212+Y212+AA212+AC212+AE212+AG212+AI212+AK212</f>
        <v>118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2</v>
      </c>
      <c r="O212" s="1" t="n">
        <v>2</v>
      </c>
      <c r="P212" s="1" t="n">
        <v>0</v>
      </c>
      <c r="Q212" s="1" t="n">
        <v>0</v>
      </c>
      <c r="R212" s="1" t="n">
        <v>0</v>
      </c>
      <c r="S212" s="1" t="n">
        <v>116</v>
      </c>
      <c r="T212" s="1" t="n">
        <v>2</v>
      </c>
    </row>
    <row r="213" customFormat="false" ht="15" hidden="false" customHeight="false" outlineLevel="0" collapsed="false">
      <c r="A213" s="5" t="n">
        <v>45895</v>
      </c>
      <c r="B213" s="6" t="str">
        <f aca="false">CONCATENATE("S",_xlfn.ISOWEEKNUM(A213),"_",IF(AND(MONTH(A213)=12,_xlfn.ISOWEEKNUM(A213)=1),YEAR(A213)+1,IF(AND(MONTH(A213)=1,_xlfn.ISOWEEKNUM(A213)&gt;50),YEAR(A213)-1,YEAR(A213))))</f>
        <v>S35_2025</v>
      </c>
      <c r="C213" s="7" t="n">
        <f aca="false">E213+G213+I213+K213+M213+O213+Q213+S213+U213+W213+Y213+AA213+AC213+AE213+AG213+AI213+AK213</f>
        <v>136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1</v>
      </c>
      <c r="K213" s="1" t="n">
        <v>0</v>
      </c>
      <c r="L213" s="1" t="n">
        <v>0</v>
      </c>
      <c r="M213" s="1" t="n">
        <v>5</v>
      </c>
      <c r="N213" s="1" t="n">
        <v>5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131</v>
      </c>
      <c r="T213" s="1" t="n">
        <v>12</v>
      </c>
    </row>
    <row r="214" customFormat="false" ht="15" hidden="false" customHeight="false" outlineLevel="0" collapsed="false">
      <c r="A214" s="5" t="n">
        <v>45896</v>
      </c>
      <c r="B214" s="6" t="str">
        <f aca="false">CONCATENATE("S",_xlfn.ISOWEEKNUM(A214),"_",IF(AND(MONTH(A214)=12,_xlfn.ISOWEEKNUM(A214)=1),YEAR(A214)+1,IF(AND(MONTH(A214)=1,_xlfn.ISOWEEKNUM(A214)&gt;50),YEAR(A214)-1,YEAR(A214))))</f>
        <v>S35_2025</v>
      </c>
      <c r="C214" s="7" t="n">
        <f aca="false">E214+G214+I214+K214+M214+O214+Q214+S214+U214+W214+Y214+AA214+AC214+AE214+AG214+AI214+AK214</f>
        <v>139</v>
      </c>
      <c r="D214" s="1" t="n">
        <v>0</v>
      </c>
      <c r="E214" s="1" t="n">
        <v>0</v>
      </c>
      <c r="F214" s="1" t="n">
        <v>0</v>
      </c>
      <c r="G214" s="1" t="n">
        <v>2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137</v>
      </c>
      <c r="T214" s="1" t="n">
        <v>3</v>
      </c>
    </row>
    <row r="215" customFormat="false" ht="15" hidden="false" customHeight="false" outlineLevel="0" collapsed="false">
      <c r="A215" s="5" t="n">
        <v>45897</v>
      </c>
      <c r="B215" s="6" t="str">
        <f aca="false">CONCATENATE("S",_xlfn.ISOWEEKNUM(A215),"_",IF(AND(MONTH(A215)=12,_xlfn.ISOWEEKNUM(A215)=1),YEAR(A215)+1,IF(AND(MONTH(A215)=1,_xlfn.ISOWEEKNUM(A215)&gt;50),YEAR(A215)-1,YEAR(A215))))</f>
        <v>S35_2025</v>
      </c>
      <c r="C215" s="7" t="n">
        <f aca="false">E215+G215+I215+K215+M215+O215+Q215+S215+U215+W215+Y215+AA215+AC215+AE215+AG215+AI215+AK215</f>
        <v>142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1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142</v>
      </c>
      <c r="T215" s="1" t="n">
        <v>13</v>
      </c>
    </row>
    <row r="216" customFormat="false" ht="15" hidden="false" customHeight="false" outlineLevel="0" collapsed="false">
      <c r="A216" s="5" t="n">
        <v>45898</v>
      </c>
      <c r="B216" s="6" t="str">
        <f aca="false">CONCATENATE("S",_xlfn.ISOWEEKNUM(A216),"_",IF(AND(MONTH(A216)=12,_xlfn.ISOWEEKNUM(A216)=1),YEAR(A216)+1,IF(AND(MONTH(A216)=1,_xlfn.ISOWEEKNUM(A216)&gt;50),YEAR(A216)-1,YEAR(A216))))</f>
        <v>S35_2025</v>
      </c>
      <c r="C216" s="7" t="n">
        <f aca="false">E216+G216+I216+K216+M216+O216+Q216+S216+U216+W216+Y216+AA216+AC216+AE216+AG216+AI216+AK216</f>
        <v>85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85</v>
      </c>
      <c r="T216" s="1" t="n">
        <v>3</v>
      </c>
    </row>
    <row r="217" customFormat="false" ht="15" hidden="false" customHeight="false" outlineLevel="0" collapsed="false">
      <c r="A217" s="6" t="n">
        <v>45899</v>
      </c>
      <c r="B217" s="6" t="str">
        <f aca="false">CONCATENATE("S",_xlfn.ISOWEEKNUM(A217),"_",IF(AND(MONTH(A217)=12,_xlfn.ISOWEEKNUM(A217)=1),YEAR(A217)+1,IF(AND(MONTH(A217)=1,_xlfn.ISOWEEKNUM(A217)&gt;50),YEAR(A217)-1,YEAR(A217))))</f>
        <v>S35_2025</v>
      </c>
      <c r="C217" s="7" t="n">
        <f aca="false">E217+G217+I217+K217+M217+O217+Q217+S217+U217+W217+Y217+AA217+AC217+AE217+AG217+AI217+AK217</f>
        <v>32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32</v>
      </c>
      <c r="T217" s="1" t="n">
        <v>7</v>
      </c>
    </row>
    <row r="218" customFormat="false" ht="15" hidden="false" customHeight="false" outlineLevel="0" collapsed="false">
      <c r="A218" s="6" t="n">
        <v>45900</v>
      </c>
      <c r="B218" s="6" t="str">
        <f aca="false">CONCATENATE("S",_xlfn.ISOWEEKNUM(A218),"_",IF(AND(MONTH(A218)=12,_xlfn.ISOWEEKNUM(A218)=1),YEAR(A218)+1,IF(AND(MONTH(A218)=1,_xlfn.ISOWEEKNUM(A218)&gt;50),YEAR(A218)-1,YEAR(A218))))</f>
        <v>S35_2025</v>
      </c>
      <c r="C218" s="7" t="n">
        <f aca="false">E218+G218+I218+K218+M218+O218+Q218+S218+U218+W218+Y218+AA218+AC218+AE218+AG218+AI218+AK218</f>
        <v>55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1</v>
      </c>
      <c r="P218" s="1" t="n">
        <v>0</v>
      </c>
      <c r="Q218" s="1" t="n">
        <v>0</v>
      </c>
      <c r="R218" s="1" t="n">
        <v>0</v>
      </c>
      <c r="S218" s="1" t="n">
        <v>54</v>
      </c>
      <c r="T218" s="1" t="n">
        <v>4</v>
      </c>
    </row>
    <row r="219" customFormat="false" ht="15" hidden="false" customHeight="false" outlineLevel="0" collapsed="false">
      <c r="A219" s="6" t="n">
        <v>45901</v>
      </c>
      <c r="B219" s="6" t="str">
        <f aca="false">CONCATENATE("S",_xlfn.ISOWEEKNUM(A219),"_",IF(AND(MONTH(A219)=12,_xlfn.ISOWEEKNUM(A219)=1),YEAR(A219)+1,IF(AND(MONTH(A219)=1,_xlfn.ISOWEEKNUM(A219)&gt;50),YEAR(A219)-1,YEAR(A219))))</f>
        <v>S36_2025</v>
      </c>
      <c r="C219" s="7" t="n">
        <f aca="false">E219+G219+I219+K219+M219+O219+Q219+S219+U219+W219+Y219+AA219+AC219+AE219+AG219+AI219+AK219</f>
        <v>111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1</v>
      </c>
      <c r="P219" s="1" t="n">
        <v>0</v>
      </c>
      <c r="Q219" s="1" t="n">
        <v>0</v>
      </c>
      <c r="R219" s="1" t="n">
        <v>0</v>
      </c>
      <c r="S219" s="1" t="n">
        <v>110</v>
      </c>
      <c r="T219" s="1" t="n">
        <v>6</v>
      </c>
    </row>
    <row r="220" customFormat="false" ht="15" hidden="false" customHeight="false" outlineLevel="0" collapsed="false">
      <c r="A220" s="6" t="n">
        <v>45902</v>
      </c>
      <c r="B220" s="6" t="str">
        <f aca="false">CONCATENATE("S",_xlfn.ISOWEEKNUM(A220),"_",IF(AND(MONTH(A220)=12,_xlfn.ISOWEEKNUM(A220)=1),YEAR(A220)+1,IF(AND(MONTH(A220)=1,_xlfn.ISOWEEKNUM(A220)&gt;50),YEAR(A220)-1,YEAR(A220))))</f>
        <v>S36_2025</v>
      </c>
      <c r="C220" s="7" t="n">
        <f aca="false">E220+G220+I220+K220+M220+O220+Q220+S220+U220+W220+Y220+AA220+AC220+AE220+AG220+AI220+AK220</f>
        <v>114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114</v>
      </c>
      <c r="T220" s="1" t="n">
        <v>10</v>
      </c>
    </row>
    <row r="221" customFormat="false" ht="15" hidden="false" customHeight="false" outlineLevel="0" collapsed="false">
      <c r="A221" s="6" t="n">
        <v>45903</v>
      </c>
      <c r="B221" s="6" t="str">
        <f aca="false">CONCATENATE("S",_xlfn.ISOWEEKNUM(A221),"_",IF(AND(MONTH(A221)=12,_xlfn.ISOWEEKNUM(A221)=1),YEAR(A221)+1,IF(AND(MONTH(A221)=1,_xlfn.ISOWEEKNUM(A221)&gt;50),YEAR(A221)-1,YEAR(A221))))</f>
        <v>S36_2025</v>
      </c>
      <c r="C221" s="7" t="n">
        <f aca="false">E221+G221+I221+K221+M221+O221+Q221+S221+U221+W221+Y221+AA221+AC221+AE221+AG221+AI221+AK221</f>
        <v>289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2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5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287</v>
      </c>
      <c r="T221" s="1" t="n">
        <v>10</v>
      </c>
    </row>
    <row r="222" customFormat="false" ht="15" hidden="false" customHeight="false" outlineLevel="0" collapsed="false">
      <c r="A222" s="6" t="n">
        <v>45904</v>
      </c>
      <c r="B222" s="6" t="str">
        <f aca="false">CONCATENATE("S",_xlfn.ISOWEEKNUM(A222),"_",IF(AND(MONTH(A222)=12,_xlfn.ISOWEEKNUM(A222)=1),YEAR(A222)+1,IF(AND(MONTH(A222)=1,_xlfn.ISOWEEKNUM(A222)&gt;50),YEAR(A222)-1,YEAR(A222))))</f>
        <v>S36_2025</v>
      </c>
      <c r="C222" s="7" t="n">
        <f aca="false">E222+G222+I222+K222+M222+O222+Q222+S222+U222+W222+Y222+AA222+AC222+AE222+AG222+AI222+AK222</f>
        <v>160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160</v>
      </c>
      <c r="T222" s="1" t="n">
        <v>9</v>
      </c>
    </row>
    <row r="223" customFormat="false" ht="15" hidden="false" customHeight="false" outlineLevel="0" collapsed="false">
      <c r="A223" s="6" t="n">
        <v>45905</v>
      </c>
      <c r="B223" s="6" t="str">
        <f aca="false">CONCATENATE("S",_xlfn.ISOWEEKNUM(A223),"_",IF(AND(MONTH(A223)=12,_xlfn.ISOWEEKNUM(A223)=1),YEAR(A223)+1,IF(AND(MONTH(A223)=1,_xlfn.ISOWEEKNUM(A223)&gt;50),YEAR(A223)-1,YEAR(A223))))</f>
        <v>S36_2025</v>
      </c>
      <c r="C223" s="7" t="n">
        <f aca="false">E223+G223+I223+K223+M223+O223+Q223+S223+U223+W223+Y223+AA223+AC223+AE223+AG223+AI223+AK223</f>
        <v>80</v>
      </c>
      <c r="D223" s="1" t="n">
        <v>0</v>
      </c>
      <c r="E223" s="1" t="n">
        <v>0</v>
      </c>
      <c r="F223" s="1" t="n">
        <v>0</v>
      </c>
      <c r="G223" s="1" t="n">
        <v>2</v>
      </c>
      <c r="H223" s="1" t="n">
        <v>0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76</v>
      </c>
      <c r="T223" s="1" t="n">
        <v>4</v>
      </c>
    </row>
    <row r="224" customFormat="false" ht="15" hidden="false" customHeight="false" outlineLevel="0" collapsed="false">
      <c r="A224" s="6" t="n">
        <v>45906</v>
      </c>
      <c r="B224" s="6" t="str">
        <f aca="false">CONCATENATE("S",_xlfn.ISOWEEKNUM(A224),"_",IF(AND(MONTH(A224)=12,_xlfn.ISOWEEKNUM(A224)=1),YEAR(A224)+1,IF(AND(MONTH(A224)=1,_xlfn.ISOWEEKNUM(A224)&gt;50),YEAR(A224)-1,YEAR(A224))))</f>
        <v>S36_2025</v>
      </c>
      <c r="C224" s="7" t="n">
        <f aca="false">E224+G224+I224+K224+M224+O224+Q224+S224+U224+W224+Y224+AA224+AC224+AE224+AG224+AI224+AK224</f>
        <v>103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2</v>
      </c>
      <c r="K224" s="1" t="n">
        <v>0</v>
      </c>
      <c r="L224" s="1" t="n">
        <v>0</v>
      </c>
      <c r="M224" s="1" t="n">
        <v>3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100</v>
      </c>
      <c r="T224" s="1" t="n">
        <v>5</v>
      </c>
    </row>
    <row r="225" customFormat="false" ht="15" hidden="false" customHeight="false" outlineLevel="0" collapsed="false">
      <c r="A225" s="6" t="n">
        <v>45907</v>
      </c>
      <c r="B225" s="6" t="str">
        <f aca="false">CONCATENATE("S",_xlfn.ISOWEEKNUM(A225),"_",IF(AND(MONTH(A225)=12,_xlfn.ISOWEEKNUM(A225)=1),YEAR(A225)+1,IF(AND(MONTH(A225)=1,_xlfn.ISOWEEKNUM(A225)&gt;50),YEAR(A225)-1,YEAR(A225))))</f>
        <v>S36_2025</v>
      </c>
      <c r="C225" s="7" t="n">
        <f aca="false">E225+G225+I225+K225+M225+O225+Q225+S225+U225+W225+Y225+AA225+AC225+AE225+AG225+AI225+AK225</f>
        <v>80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80</v>
      </c>
      <c r="T225" s="1" t="n">
        <v>3</v>
      </c>
    </row>
    <row r="226" customFormat="false" ht="15" hidden="false" customHeight="false" outlineLevel="0" collapsed="false">
      <c r="A226" s="6" t="n">
        <v>45908</v>
      </c>
      <c r="B226" s="6" t="str">
        <f aca="false">CONCATENATE("S",_xlfn.ISOWEEKNUM(A226),"_",IF(AND(MONTH(A226)=12,_xlfn.ISOWEEKNUM(A226)=1),YEAR(A226)+1,IF(AND(MONTH(A226)=1,_xlfn.ISOWEEKNUM(A226)&gt;50),YEAR(A226)-1,YEAR(A226))))</f>
        <v>S37_2025</v>
      </c>
      <c r="C226" s="7" t="n">
        <f aca="false">E226+G226+I226+K226+M226+O226+Q226+S226+U226+W226+Y226+AA226+AC226+AE226+AG226+AI226+AK226</f>
        <v>150</v>
      </c>
      <c r="D226" s="10" t="n">
        <v>0</v>
      </c>
      <c r="E226" s="10" t="n">
        <v>0</v>
      </c>
      <c r="F226" s="10" t="n">
        <v>0</v>
      </c>
      <c r="G226" s="10" t="n">
        <v>0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  <c r="S226" s="10" t="n">
        <v>150</v>
      </c>
      <c r="T226" s="10" t="n">
        <v>10</v>
      </c>
    </row>
    <row r="227" customFormat="false" ht="15" hidden="false" customHeight="false" outlineLevel="0" collapsed="false">
      <c r="A227" s="6" t="n">
        <v>45909</v>
      </c>
      <c r="B227" s="6" t="str">
        <f aca="false">CONCATENATE("S",_xlfn.ISOWEEKNUM(A227),"_",IF(AND(MONTH(A227)=12,_xlfn.ISOWEEKNUM(A227)=1),YEAR(A227)+1,IF(AND(MONTH(A227)=1,_xlfn.ISOWEEKNUM(A227)&gt;50),YEAR(A227)-1,YEAR(A227))))</f>
        <v>S37_2025</v>
      </c>
      <c r="C227" s="7" t="n">
        <f aca="false">E227+G227+I227+K227+M227+O227+Q227+S227+U227+W227+Y227+AA227+AC227+AE227+AG227+AI227+AK227</f>
        <v>204</v>
      </c>
      <c r="D227" s="10" t="n">
        <v>0</v>
      </c>
      <c r="E227" s="10" t="n">
        <v>0</v>
      </c>
      <c r="F227" s="10" t="n">
        <v>0</v>
      </c>
      <c r="G227" s="10" t="n">
        <v>0</v>
      </c>
      <c r="H227" s="10" t="n">
        <v>3</v>
      </c>
      <c r="I227" s="10" t="n">
        <v>2</v>
      </c>
      <c r="J227" s="10" t="n">
        <v>3</v>
      </c>
      <c r="K227" s="10" t="n">
        <v>0</v>
      </c>
      <c r="L227" s="10" t="n">
        <v>0</v>
      </c>
      <c r="M227" s="10" t="n">
        <v>1</v>
      </c>
      <c r="N227" s="10" t="n">
        <v>0</v>
      </c>
      <c r="O227" s="10" t="n">
        <v>1</v>
      </c>
      <c r="P227" s="10" t="n">
        <v>0</v>
      </c>
      <c r="Q227" s="10" t="n">
        <v>0</v>
      </c>
      <c r="R227" s="10" t="n">
        <v>0</v>
      </c>
      <c r="S227" s="10" t="n">
        <v>200</v>
      </c>
      <c r="T227" s="10" t="n">
        <v>10</v>
      </c>
    </row>
    <row r="228" customFormat="false" ht="15" hidden="false" customHeight="false" outlineLevel="0" collapsed="false">
      <c r="A228" s="6" t="n">
        <v>45910</v>
      </c>
      <c r="B228" s="6" t="str">
        <f aca="false">CONCATENATE("S",_xlfn.ISOWEEKNUM(A228),"_",IF(AND(MONTH(A228)=12,_xlfn.ISOWEEKNUM(A228)=1),YEAR(A228)+1,IF(AND(MONTH(A228)=1,_xlfn.ISOWEEKNUM(A228)&gt;50),YEAR(A228)-1,YEAR(A228))))</f>
        <v>S37_2025</v>
      </c>
      <c r="C228" s="7" t="n">
        <f aca="false">E228+G228+I228+K228+M228+O228+Q228+S228+U228+W228+Y228+AA228+AC228+AE228+AG228+AI228+AK228</f>
        <v>159</v>
      </c>
      <c r="D228" s="10" t="n">
        <v>1</v>
      </c>
      <c r="E228" s="10" t="n">
        <v>0</v>
      </c>
      <c r="F228" s="10" t="n">
        <v>0</v>
      </c>
      <c r="G228" s="10" t="n">
        <v>0</v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0</v>
      </c>
      <c r="M228" s="10" t="n">
        <v>1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  <c r="S228" s="10" t="n">
        <v>158</v>
      </c>
      <c r="T228" s="10" t="n">
        <v>6</v>
      </c>
    </row>
    <row r="229" customFormat="false" ht="15" hidden="false" customHeight="false" outlineLevel="0" collapsed="false">
      <c r="A229" s="6" t="n">
        <v>45911</v>
      </c>
      <c r="B229" s="6" t="str">
        <f aca="false">CONCATENATE("S",_xlfn.ISOWEEKNUM(A229),"_",IF(AND(MONTH(A229)=12,_xlfn.ISOWEEKNUM(A229)=1),YEAR(A229)+1,IF(AND(MONTH(A229)=1,_xlfn.ISOWEEKNUM(A229)&gt;50),YEAR(A229)-1,YEAR(A229))))</f>
        <v>S37_2025</v>
      </c>
      <c r="C229" s="7" t="n">
        <f aca="false">E229+G229+I229+K229+M229+O229+Q229+S229+U229+W229+Y229+AA229+AC229+AE229+AG229+AI229+AK229</f>
        <v>108</v>
      </c>
      <c r="D229" s="10" t="n">
        <v>0</v>
      </c>
      <c r="E229" s="10" t="n">
        <v>0</v>
      </c>
      <c r="F229" s="10" t="n">
        <v>0</v>
      </c>
      <c r="G229" s="10" t="n">
        <v>0</v>
      </c>
      <c r="H229" s="10" t="n">
        <v>0</v>
      </c>
      <c r="I229" s="10" t="n">
        <v>0</v>
      </c>
      <c r="J229" s="10" t="n">
        <v>0</v>
      </c>
      <c r="K229" s="10" t="n">
        <v>2</v>
      </c>
      <c r="L229" s="10" t="n">
        <v>0</v>
      </c>
      <c r="M229" s="10" t="n">
        <v>0</v>
      </c>
      <c r="N229" s="10" t="n">
        <v>0</v>
      </c>
      <c r="O229" s="10" t="n">
        <v>0</v>
      </c>
      <c r="P229" s="10" t="n">
        <v>0</v>
      </c>
      <c r="Q229" s="10" t="n">
        <v>0</v>
      </c>
      <c r="R229" s="10" t="n">
        <v>0</v>
      </c>
      <c r="S229" s="10" t="n">
        <v>106</v>
      </c>
      <c r="T229" s="10" t="n">
        <v>7</v>
      </c>
    </row>
    <row r="230" customFormat="false" ht="15" hidden="false" customHeight="false" outlineLevel="0" collapsed="false">
      <c r="A230" s="6" t="n">
        <v>45912</v>
      </c>
      <c r="B230" s="6" t="str">
        <f aca="false">CONCATENATE("S",_xlfn.ISOWEEKNUM(A230),"_",IF(AND(MONTH(A230)=12,_xlfn.ISOWEEKNUM(A230)=1),YEAR(A230)+1,IF(AND(MONTH(A230)=1,_xlfn.ISOWEEKNUM(A230)&gt;50),YEAR(A230)-1,YEAR(A230))))</f>
        <v>S37_2025</v>
      </c>
      <c r="C230" s="7" t="n">
        <f aca="false">E230+G230+I230+K230+M230+O230+Q230+S230+U230+W230+Y230+AA230+AC230+AE230+AG230+AI230+AK230</f>
        <v>142</v>
      </c>
      <c r="D230" s="10" t="n">
        <v>2</v>
      </c>
      <c r="E230" s="10" t="n">
        <v>0</v>
      </c>
      <c r="F230" s="10" t="n">
        <v>0</v>
      </c>
      <c r="G230" s="10" t="n">
        <v>1</v>
      </c>
      <c r="H230" s="10" t="n">
        <v>0</v>
      </c>
      <c r="I230" s="10" t="n">
        <v>0</v>
      </c>
      <c r="J230" s="10" t="n">
        <v>0</v>
      </c>
      <c r="K230" s="10" t="n">
        <v>0</v>
      </c>
      <c r="L230" s="10" t="n">
        <v>1</v>
      </c>
      <c r="M230" s="10" t="n">
        <v>0</v>
      </c>
      <c r="N230" s="10" t="n">
        <v>0</v>
      </c>
      <c r="O230" s="10" t="n">
        <v>1</v>
      </c>
      <c r="P230" s="10" t="n">
        <v>0</v>
      </c>
      <c r="Q230" s="10" t="n">
        <v>0</v>
      </c>
      <c r="R230" s="10" t="n">
        <v>0</v>
      </c>
      <c r="S230" s="10" t="n">
        <v>140</v>
      </c>
      <c r="T230" s="10" t="n">
        <v>2</v>
      </c>
    </row>
    <row r="231" customFormat="false" ht="15" hidden="false" customHeight="false" outlineLevel="0" collapsed="false">
      <c r="A231" s="6" t="n">
        <v>45913</v>
      </c>
      <c r="B231" s="6" t="str">
        <f aca="false">CONCATENATE("S",_xlfn.ISOWEEKNUM(A231),"_",IF(AND(MONTH(A231)=12,_xlfn.ISOWEEKNUM(A231)=1),YEAR(A231)+1,IF(AND(MONTH(A231)=1,_xlfn.ISOWEEKNUM(A231)&gt;50),YEAR(A231)-1,YEAR(A231))))</f>
        <v>S37_2025</v>
      </c>
      <c r="C231" s="7" t="n">
        <f aca="false">E231+G231+I231+K231+M231+O231+Q231+S231+U231+W231+Y231+AA231+AC231+AE231+AG231+AI231+AK231</f>
        <v>128</v>
      </c>
      <c r="D231" s="10" t="n">
        <v>0</v>
      </c>
      <c r="E231" s="10" t="n">
        <v>4</v>
      </c>
      <c r="F231" s="10" t="n">
        <v>0</v>
      </c>
      <c r="G231" s="10" t="n">
        <v>0</v>
      </c>
      <c r="H231" s="10" t="n">
        <v>0</v>
      </c>
      <c r="I231" s="10" t="n">
        <v>0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0" t="n">
        <v>3</v>
      </c>
      <c r="P231" s="10" t="n">
        <v>0</v>
      </c>
      <c r="Q231" s="10" t="n">
        <v>0</v>
      </c>
      <c r="R231" s="10" t="n">
        <v>0</v>
      </c>
      <c r="S231" s="10" t="n">
        <v>121</v>
      </c>
      <c r="T231" s="10" t="n">
        <v>3</v>
      </c>
    </row>
    <row r="232" customFormat="false" ht="15" hidden="false" customHeight="false" outlineLevel="0" collapsed="false">
      <c r="A232" s="6" t="n">
        <v>45914</v>
      </c>
      <c r="B232" s="6" t="str">
        <f aca="false">CONCATENATE("S",_xlfn.ISOWEEKNUM(A232),"_",IF(AND(MONTH(A232)=12,_xlfn.ISOWEEKNUM(A232)=1),YEAR(A232)+1,IF(AND(MONTH(A232)=1,_xlfn.ISOWEEKNUM(A232)&gt;50),YEAR(A232)-1,YEAR(A232))))</f>
        <v>S37_2025</v>
      </c>
      <c r="C232" s="7" t="n">
        <f aca="false">E232+G232+I232+K232+M232+O232+Q232+S232+U232+W232+Y232+AA232+AC232+AE232+AG232+AI232+AK232</f>
        <v>122</v>
      </c>
      <c r="D232" s="10" t="n">
        <v>0</v>
      </c>
      <c r="E232" s="10" t="n">
        <v>0</v>
      </c>
      <c r="F232" s="10" t="n">
        <v>0</v>
      </c>
      <c r="G232" s="10" t="n">
        <v>0</v>
      </c>
      <c r="H232" s="10" t="n">
        <v>0</v>
      </c>
      <c r="I232" s="10" t="n">
        <v>0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0" t="n">
        <v>0</v>
      </c>
      <c r="P232" s="10" t="n">
        <v>0</v>
      </c>
      <c r="Q232" s="10" t="n">
        <v>0</v>
      </c>
      <c r="R232" s="10" t="n">
        <v>0</v>
      </c>
      <c r="S232" s="10" t="n">
        <v>122</v>
      </c>
      <c r="T232" s="10" t="n">
        <v>5</v>
      </c>
    </row>
    <row r="233" customFormat="false" ht="15" hidden="false" customHeight="false" outlineLevel="0" collapsed="false">
      <c r="A233" s="6" t="n">
        <v>45915</v>
      </c>
      <c r="B233" s="6" t="str">
        <f aca="false">CONCATENATE("S",_xlfn.ISOWEEKNUM(A233),"_",IF(AND(MONTH(A233)=12,_xlfn.ISOWEEKNUM(A233)=1),YEAR(A233)+1,IF(AND(MONTH(A233)=1,_xlfn.ISOWEEKNUM(A233)&gt;50),YEAR(A233)-1,YEAR(A233))))</f>
        <v>S38_2025</v>
      </c>
      <c r="C233" s="7" t="n">
        <f aca="false">E233+G233+I233+K233+M233+O233+Q233+S233+U233+W233+Y233+AA233+AC233+AE233+AG233+AI233+AK233</f>
        <v>93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4</v>
      </c>
      <c r="M233" s="1" t="n">
        <v>0</v>
      </c>
      <c r="N233" s="1" t="n">
        <v>0</v>
      </c>
      <c r="O233" s="1" t="n">
        <v>1</v>
      </c>
      <c r="P233" s="1" t="n">
        <v>0</v>
      </c>
      <c r="Q233" s="1" t="n">
        <v>0</v>
      </c>
      <c r="R233" s="1" t="n">
        <v>0</v>
      </c>
      <c r="S233" s="1" t="n">
        <v>92</v>
      </c>
      <c r="T233" s="1" t="n">
        <v>4</v>
      </c>
    </row>
    <row r="234" customFormat="false" ht="15" hidden="false" customHeight="false" outlineLevel="0" collapsed="false">
      <c r="A234" s="6" t="n">
        <v>45916</v>
      </c>
      <c r="B234" s="6" t="str">
        <f aca="false">CONCATENATE("S",_xlfn.ISOWEEKNUM(A234),"_",IF(AND(MONTH(A234)=12,_xlfn.ISOWEEKNUM(A234)=1),YEAR(A234)+1,IF(AND(MONTH(A234)=1,_xlfn.ISOWEEKNUM(A234)&gt;50),YEAR(A234)-1,YEAR(A234))))</f>
        <v>S38_2025</v>
      </c>
      <c r="C234" s="7" t="n">
        <f aca="false">E234+G234+I234+K234+M234+O234+Q234+S234+U234+W234+Y234+AA234+AC234+AE234+AG234+AI234+AK234</f>
        <v>93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93</v>
      </c>
      <c r="T234" s="1" t="n">
        <v>7</v>
      </c>
    </row>
    <row r="235" customFormat="false" ht="15" hidden="false" customHeight="false" outlineLevel="0" collapsed="false">
      <c r="A235" s="6" t="n">
        <v>45917</v>
      </c>
      <c r="B235" s="6" t="str">
        <f aca="false">CONCATENATE("S",_xlfn.ISOWEEKNUM(A235),"_",IF(AND(MONTH(A235)=12,_xlfn.ISOWEEKNUM(A235)=1),YEAR(A235)+1,IF(AND(MONTH(A235)=1,_xlfn.ISOWEEKNUM(A235)&gt;50),YEAR(A235)-1,YEAR(A235))))</f>
        <v>S38_2025</v>
      </c>
      <c r="C235" s="7" t="n">
        <f aca="false">E235+G235+I235+K235+M235+O235+Q235+S235+U235+W235+Y235+AA235+AC235+AE235+AG235+AI235+AK235</f>
        <v>82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1</v>
      </c>
      <c r="L235" s="1" t="n">
        <v>2</v>
      </c>
      <c r="M235" s="1" t="n">
        <v>0</v>
      </c>
      <c r="N235" s="1" t="n">
        <v>3</v>
      </c>
      <c r="O235" s="1" t="n">
        <v>1</v>
      </c>
      <c r="P235" s="1" t="n">
        <v>0</v>
      </c>
      <c r="Q235" s="1" t="n">
        <v>0</v>
      </c>
      <c r="R235" s="1" t="n">
        <v>0</v>
      </c>
      <c r="S235" s="1" t="n">
        <v>80</v>
      </c>
      <c r="T235" s="1" t="n">
        <v>5</v>
      </c>
    </row>
    <row r="236" customFormat="false" ht="15" hidden="false" customHeight="false" outlineLevel="0" collapsed="false">
      <c r="A236" s="6" t="n">
        <v>45918</v>
      </c>
      <c r="B236" s="6" t="str">
        <f aca="false">CONCATENATE("S",_xlfn.ISOWEEKNUM(A236),"_",IF(AND(MONTH(A236)=12,_xlfn.ISOWEEKNUM(A236)=1),YEAR(A236)+1,IF(AND(MONTH(A236)=1,_xlfn.ISOWEEKNUM(A236)&gt;50),YEAR(A236)-1,YEAR(A236))))</f>
        <v>S38_2025</v>
      </c>
      <c r="C236" s="7" t="n">
        <f aca="false">E236+G236+I236+K236+M236+O236+Q236+S236+U236+W236+Y236+AA236+AC236+AE236+AG236+AI236+AK236</f>
        <v>66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66</v>
      </c>
      <c r="T236" s="1" t="n">
        <v>7</v>
      </c>
    </row>
    <row r="237" customFormat="false" ht="15" hidden="false" customHeight="false" outlineLevel="0" collapsed="false">
      <c r="A237" s="6" t="n">
        <v>45919</v>
      </c>
      <c r="B237" s="6" t="str">
        <f aca="false">CONCATENATE("S",_xlfn.ISOWEEKNUM(A237),"_",IF(AND(MONTH(A237)=12,_xlfn.ISOWEEKNUM(A237)=1),YEAR(A237)+1,IF(AND(MONTH(A237)=1,_xlfn.ISOWEEKNUM(A237)&gt;50),YEAR(A237)-1,YEAR(A237))))</f>
        <v>S38_2025</v>
      </c>
      <c r="C237" s="7" t="n">
        <f aca="false">E237+G237+I237+K237+M237+O237+Q237+S237+U237+W237+Y237+AA237+AC237+AE237+AG237+AI237+AK237</f>
        <v>145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2</v>
      </c>
      <c r="P237" s="1" t="n">
        <v>0</v>
      </c>
      <c r="Q237" s="1" t="n">
        <v>0</v>
      </c>
      <c r="R237" s="1" t="n">
        <v>0</v>
      </c>
      <c r="S237" s="1" t="n">
        <v>142</v>
      </c>
      <c r="T237" s="1" t="n">
        <v>5</v>
      </c>
    </row>
    <row r="238" customFormat="false" ht="15" hidden="false" customHeight="false" outlineLevel="0" collapsed="false">
      <c r="A238" s="6" t="n">
        <v>45920</v>
      </c>
      <c r="B238" s="6" t="str">
        <f aca="false">CONCATENATE("S",_xlfn.ISOWEEKNUM(A238),"_",IF(AND(MONTH(A238)=12,_xlfn.ISOWEEKNUM(A238)=1),YEAR(A238)+1,IF(AND(MONTH(A238)=1,_xlfn.ISOWEEKNUM(A238)&gt;50),YEAR(A238)-1,YEAR(A238))))</f>
        <v>S38_2025</v>
      </c>
      <c r="C238" s="7" t="n">
        <f aca="false">E238+G238+I238+K238+M238+O238+Q238+S238+U238+W238+Y238+AA238+AC238+AE238+AG238+AI238+AK238</f>
        <v>106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1</v>
      </c>
      <c r="O238" s="1" t="n">
        <v>2</v>
      </c>
      <c r="P238" s="1" t="n">
        <v>0</v>
      </c>
      <c r="Q238" s="1" t="n">
        <v>0</v>
      </c>
      <c r="R238" s="1" t="n">
        <v>0</v>
      </c>
      <c r="S238" s="1" t="n">
        <v>104</v>
      </c>
      <c r="T238" s="1" t="n">
        <v>3</v>
      </c>
    </row>
    <row r="239" customFormat="false" ht="15" hidden="false" customHeight="false" outlineLevel="0" collapsed="false">
      <c r="A239" s="6" t="n">
        <v>45921</v>
      </c>
      <c r="B239" s="6" t="str">
        <f aca="false">CONCATENATE("S",_xlfn.ISOWEEKNUM(A239),"_",IF(AND(MONTH(A239)=12,_xlfn.ISOWEEKNUM(A239)=1),YEAR(A239)+1,IF(AND(MONTH(A239)=1,_xlfn.ISOWEEKNUM(A239)&gt;50),YEAR(A239)-1,YEAR(A239))))</f>
        <v>S38_2025</v>
      </c>
      <c r="C239" s="7" t="n">
        <f aca="false">E239+G239+I239+K239+M239+O239+Q239+S239+U239+W239+Y239+AA239+AC239+AE239+AG239+AI239+AK239</f>
        <v>99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1</v>
      </c>
      <c r="N239" s="1" t="n">
        <v>0</v>
      </c>
      <c r="O239" s="1" t="n">
        <v>3</v>
      </c>
      <c r="P239" s="1" t="n">
        <v>0</v>
      </c>
      <c r="Q239" s="1" t="n">
        <v>0</v>
      </c>
      <c r="R239" s="1" t="n">
        <v>0</v>
      </c>
      <c r="S239" s="1" t="n">
        <v>95</v>
      </c>
      <c r="T239" s="1" t="n">
        <v>3</v>
      </c>
    </row>
    <row r="240" customFormat="false" ht="15" hidden="false" customHeight="false" outlineLevel="0" collapsed="false">
      <c r="A240" s="6" t="n">
        <v>45922</v>
      </c>
      <c r="B240" s="6" t="str">
        <f aca="false">CONCATENATE("S",_xlfn.ISOWEEKNUM(A240),"_",IF(AND(MONTH(A240)=12,_xlfn.ISOWEEKNUM(A240)=1),YEAR(A240)+1,IF(AND(MONTH(A240)=1,_xlfn.ISOWEEKNUM(A240)&gt;50),YEAR(A240)-1,YEAR(A240))))</f>
        <v>S39_2025</v>
      </c>
      <c r="C240" s="7" t="n">
        <f aca="false">E240+G240+I240+K240+M240+O240+Q240+S240+U240+W240+Y240+AA240+AC240+AE240+AG240+AI240+AK240</f>
        <v>91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3</v>
      </c>
      <c r="P240" s="1" t="n">
        <v>0</v>
      </c>
      <c r="Q240" s="1" t="n">
        <v>0</v>
      </c>
      <c r="R240" s="1" t="n">
        <v>0</v>
      </c>
      <c r="S240" s="1" t="n">
        <v>88</v>
      </c>
      <c r="T240" s="1" t="n">
        <v>8</v>
      </c>
    </row>
    <row r="241" customFormat="false" ht="15" hidden="false" customHeight="false" outlineLevel="0" collapsed="false">
      <c r="A241" s="6" t="n">
        <v>45923</v>
      </c>
      <c r="B241" s="6" t="str">
        <f aca="false">CONCATENATE("S",_xlfn.ISOWEEKNUM(A241),"_",IF(AND(MONTH(A241)=12,_xlfn.ISOWEEKNUM(A241)=1),YEAR(A241)+1,IF(AND(MONTH(A241)=1,_xlfn.ISOWEEKNUM(A241)&gt;50),YEAR(A241)-1,YEAR(A241))))</f>
        <v>S39_2025</v>
      </c>
      <c r="C241" s="7" t="n">
        <f aca="false">E241+G241+I241+K241+M241+O241+Q241+S241+U241+W241+Y241+AA241+AC241+AE241+AG241+AI241+AK241</f>
        <v>83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2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2</v>
      </c>
      <c r="P241" s="1" t="n">
        <v>0</v>
      </c>
      <c r="Q241" s="1" t="n">
        <v>0</v>
      </c>
      <c r="R241" s="1" t="n">
        <v>0</v>
      </c>
      <c r="S241" s="1" t="n">
        <v>81</v>
      </c>
      <c r="T241" s="1" t="n">
        <v>7</v>
      </c>
    </row>
    <row r="242" customFormat="false" ht="15" hidden="false" customHeight="false" outlineLevel="0" collapsed="false">
      <c r="A242" s="6" t="n">
        <v>45924</v>
      </c>
      <c r="B242" s="6" t="str">
        <f aca="false">CONCATENATE("S",_xlfn.ISOWEEKNUM(A242),"_",IF(AND(MONTH(A242)=12,_xlfn.ISOWEEKNUM(A242)=1),YEAR(A242)+1,IF(AND(MONTH(A242)=1,_xlfn.ISOWEEKNUM(A242)&gt;50),YEAR(A242)-1,YEAR(A242))))</f>
        <v>S39_2025</v>
      </c>
      <c r="C242" s="7" t="n">
        <f aca="false">E242+G242+I242+K242+M242+O242+Q242+S242+U242+W242+Y242+AA242+AC242+AE242+AG242+AI242+AK242</f>
        <v>99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1</v>
      </c>
      <c r="O242" s="1" t="n">
        <v>2</v>
      </c>
      <c r="P242" s="1" t="n">
        <v>0</v>
      </c>
      <c r="R242" s="1" t="n">
        <v>1</v>
      </c>
      <c r="S242" s="1" t="n">
        <v>97</v>
      </c>
      <c r="T242" s="1" t="n">
        <v>5</v>
      </c>
    </row>
    <row r="243" customFormat="false" ht="15" hidden="false" customHeight="false" outlineLevel="0" collapsed="false">
      <c r="A243" s="6" t="n">
        <v>45925</v>
      </c>
      <c r="B243" s="6" t="str">
        <f aca="false">CONCATENATE("S",_xlfn.ISOWEEKNUM(A243),"_",IF(AND(MONTH(A243)=12,_xlfn.ISOWEEKNUM(A243)=1),YEAR(A243)+1,IF(AND(MONTH(A243)=1,_xlfn.ISOWEEKNUM(A243)&gt;50),YEAR(A243)-1,YEAR(A243))))</f>
        <v>S39_2025</v>
      </c>
      <c r="C243" s="7" t="n">
        <f aca="false">E243+G243+I243+K243+M243+O243+Q243+S243+U243+W243+Y243+AA243+AC243+AE243+AG243+AI243+AK243</f>
        <v>144</v>
      </c>
      <c r="D243" s="1" t="n">
        <v>0</v>
      </c>
      <c r="E243" s="1" t="n">
        <v>0</v>
      </c>
      <c r="F243" s="1" t="n">
        <v>0</v>
      </c>
      <c r="G243" s="1" t="n">
        <v>4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1</v>
      </c>
      <c r="P243" s="1" t="n">
        <v>0</v>
      </c>
      <c r="S243" s="1" t="n">
        <v>139</v>
      </c>
      <c r="T243" s="1" t="n">
        <v>5</v>
      </c>
    </row>
    <row r="244" customFormat="false" ht="15" hidden="false" customHeight="false" outlineLevel="0" collapsed="false">
      <c r="A244" s="6" t="n">
        <v>45926</v>
      </c>
      <c r="B244" s="6" t="str">
        <f aca="false">CONCATENATE("S",_xlfn.ISOWEEKNUM(A244),"_",IF(AND(MONTH(A244)=12,_xlfn.ISOWEEKNUM(A244)=1),YEAR(A244)+1,IF(AND(MONTH(A244)=1,_xlfn.ISOWEEKNUM(A244)&gt;50),YEAR(A244)-1,YEAR(A244))))</f>
        <v>S39_2025</v>
      </c>
      <c r="C244" s="7" t="n">
        <f aca="false">E244+G244+I244+K244+M244+O244+Q244+S244+U244+W244+Y244+AA244+AC244+AE244+AG244+AI244+AK244</f>
        <v>49</v>
      </c>
      <c r="D244" s="1" t="n">
        <v>0</v>
      </c>
      <c r="E244" s="1" t="n">
        <v>0</v>
      </c>
      <c r="F244" s="1" t="n">
        <v>0</v>
      </c>
      <c r="G244" s="1" t="n">
        <v>1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1</v>
      </c>
      <c r="P244" s="1" t="n">
        <v>0</v>
      </c>
      <c r="S244" s="1" t="n">
        <v>47</v>
      </c>
      <c r="T244" s="1" t="n">
        <v>1</v>
      </c>
    </row>
    <row r="245" customFormat="false" ht="15" hidden="false" customHeight="false" outlineLevel="0" collapsed="false">
      <c r="A245" s="6" t="n">
        <v>45927</v>
      </c>
      <c r="B245" s="6" t="str">
        <f aca="false">CONCATENATE("S",_xlfn.ISOWEEKNUM(A245),"_",IF(AND(MONTH(A245)=12,_xlfn.ISOWEEKNUM(A245)=1),YEAR(A245)+1,IF(AND(MONTH(A245)=1,_xlfn.ISOWEEKNUM(A245)&gt;50),YEAR(A245)-1,YEAR(A245))))</f>
        <v>S39_2025</v>
      </c>
      <c r="C245" s="7" t="n">
        <f aca="false">E245+G245+I245+K245+M245+O245+Q245+S245+U245+W245+Y245+AA245+AC245+AE245+AG245+AI245+AK245</f>
        <v>52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2</v>
      </c>
      <c r="P245" s="1" t="n">
        <v>0</v>
      </c>
      <c r="S245" s="1" t="n">
        <v>50</v>
      </c>
      <c r="T245" s="1" t="n">
        <v>3</v>
      </c>
    </row>
    <row r="246" customFormat="false" ht="15" hidden="false" customHeight="false" outlineLevel="0" collapsed="false">
      <c r="A246" s="6" t="n">
        <v>45928</v>
      </c>
      <c r="B246" s="6" t="str">
        <f aca="false">CONCATENATE("S",_xlfn.ISOWEEKNUM(A246),"_",IF(AND(MONTH(A246)=12,_xlfn.ISOWEEKNUM(A246)=1),YEAR(A246)+1,IF(AND(MONTH(A246)=1,_xlfn.ISOWEEKNUM(A246)&gt;50),YEAR(A246)-1,YEAR(A246))))</f>
        <v>S39_2025</v>
      </c>
      <c r="C246" s="7" t="n">
        <f aca="false">E246+G246+I246+K246+M246+O246+Q246+S246+U246+W246+Y246+AA246+AC246+AE246+AG246+AI246+AK246</f>
        <v>64</v>
      </c>
      <c r="D246" s="1" t="n">
        <v>0</v>
      </c>
      <c r="E246" s="1" t="n">
        <v>8</v>
      </c>
      <c r="F246" s="1" t="n">
        <v>0</v>
      </c>
      <c r="G246" s="1" t="n">
        <v>0</v>
      </c>
      <c r="H246" s="1" t="n">
        <v>4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P246" s="1" t="n">
        <v>0</v>
      </c>
      <c r="S246" s="1" t="n">
        <v>56</v>
      </c>
      <c r="T246" s="1" t="n">
        <v>5</v>
      </c>
    </row>
    <row r="247" customFormat="false" ht="15" hidden="false" customHeight="false" outlineLevel="0" collapsed="false">
      <c r="A247" s="5" t="n">
        <v>45929</v>
      </c>
      <c r="B247" s="5" t="str">
        <f aca="false">CONCATENATE("S",_xlfn.ISOWEEKNUM(A247),"_",IF(AND(MONTH(A247)=12,_xlfn.ISOWEEKNUM(A247)=1),YEAR(A247)+1,IF(AND(MONTH(A247)=1,_xlfn.ISOWEEKNUM(A247)&gt;50),YEAR(A247)-1,YEAR(A247))))</f>
        <v>S40_2025</v>
      </c>
      <c r="C247" s="7" t="n">
        <f aca="false">E247+G247+I247+K247+M247+O247+Q247+S247+U247+W247+Y247+AA247+AC247+AE247+AG247+AI247+AK247</f>
        <v>61</v>
      </c>
      <c r="D247" s="10" t="n">
        <v>0</v>
      </c>
      <c r="E247" s="10" t="n">
        <v>0</v>
      </c>
      <c r="F247" s="10" t="n">
        <v>0</v>
      </c>
      <c r="G247" s="10" t="n">
        <v>0</v>
      </c>
      <c r="H247" s="10" t="n">
        <v>0</v>
      </c>
      <c r="I247" s="10" t="n">
        <v>0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0" t="n">
        <v>1</v>
      </c>
      <c r="P247" s="10" t="n">
        <v>0</v>
      </c>
      <c r="Q247" s="10"/>
      <c r="R247" s="10"/>
      <c r="S247" s="10" t="n">
        <v>60</v>
      </c>
      <c r="T247" s="10" t="n">
        <v>2</v>
      </c>
    </row>
    <row r="248" customFormat="false" ht="15" hidden="false" customHeight="false" outlineLevel="0" collapsed="false">
      <c r="A248" s="5" t="n">
        <v>45930</v>
      </c>
      <c r="B248" s="5" t="str">
        <f aca="false">CONCATENATE("S",_xlfn.ISOWEEKNUM(A248),"_",IF(AND(MONTH(A248)=12,_xlfn.ISOWEEKNUM(A248)=1),YEAR(A248)+1,IF(AND(MONTH(A248)=1,_xlfn.ISOWEEKNUM(A248)&gt;50),YEAR(A248)-1,YEAR(A248))))</f>
        <v>S40_2025</v>
      </c>
      <c r="C248" s="7" t="n">
        <f aca="false">E248+G248+I248+K248+M248+O248+Q248+S248+U248+W248+Y248+AA248+AC248+AE248+AG248+AI248+AK248</f>
        <v>117</v>
      </c>
      <c r="D248" s="10" t="n">
        <v>0</v>
      </c>
      <c r="E248" s="10" t="n">
        <v>0</v>
      </c>
      <c r="F248" s="10" t="n">
        <v>0</v>
      </c>
      <c r="G248" s="10" t="n">
        <v>0</v>
      </c>
      <c r="H248" s="10" t="n">
        <v>0</v>
      </c>
      <c r="I248" s="10" t="n">
        <v>0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1</v>
      </c>
      <c r="O248" s="10" t="n">
        <v>1</v>
      </c>
      <c r="P248" s="10" t="n">
        <v>0</v>
      </c>
      <c r="Q248" s="10"/>
      <c r="R248" s="10"/>
      <c r="S248" s="10" t="n">
        <v>116</v>
      </c>
      <c r="T248" s="10" t="n">
        <v>6</v>
      </c>
    </row>
    <row r="249" customFormat="false" ht="15" hidden="false" customHeight="false" outlineLevel="0" collapsed="false">
      <c r="A249" s="5" t="n">
        <v>45931</v>
      </c>
      <c r="B249" s="5" t="str">
        <f aca="false">CONCATENATE("S",_xlfn.ISOWEEKNUM(A249),"_",IF(AND(MONTH(A249)=12,_xlfn.ISOWEEKNUM(A249)=1),YEAR(A249)+1,IF(AND(MONTH(A249)=1,_xlfn.ISOWEEKNUM(A249)&gt;50),YEAR(A249)-1,YEAR(A249))))</f>
        <v>S40_2025</v>
      </c>
      <c r="C249" s="7" t="n">
        <f aca="false">E249+G249+I249+K249+M249+O249+Q249+S249+U249+W249+Y249+AA249+AC249+AE249+AG249+AI249+AK249</f>
        <v>55</v>
      </c>
      <c r="D249" s="10" t="n">
        <v>0</v>
      </c>
      <c r="E249" s="10" t="n">
        <v>0</v>
      </c>
      <c r="F249" s="10" t="n">
        <v>0</v>
      </c>
      <c r="G249" s="10" t="n">
        <v>0</v>
      </c>
      <c r="H249" s="10" t="n">
        <v>0</v>
      </c>
      <c r="I249" s="10" t="n">
        <v>0</v>
      </c>
      <c r="J249" s="10" t="n">
        <v>0</v>
      </c>
      <c r="K249" s="10"/>
      <c r="L249" s="10"/>
      <c r="M249" s="10" t="n">
        <v>0</v>
      </c>
      <c r="N249" s="10" t="n">
        <v>0</v>
      </c>
      <c r="O249" s="10" t="n">
        <v>1</v>
      </c>
      <c r="P249" s="10" t="n">
        <v>0</v>
      </c>
      <c r="Q249" s="10"/>
      <c r="R249" s="10"/>
      <c r="S249" s="10" t="n">
        <v>54</v>
      </c>
      <c r="T249" s="10" t="n">
        <v>3</v>
      </c>
    </row>
    <row r="250" customFormat="false" ht="15" hidden="false" customHeight="false" outlineLevel="0" collapsed="false">
      <c r="A250" s="5" t="n">
        <v>45932</v>
      </c>
      <c r="B250" s="5" t="str">
        <f aca="false">CONCATENATE("S",_xlfn.ISOWEEKNUM(A250),"_",IF(AND(MONTH(A250)=12,_xlfn.ISOWEEKNUM(A250)=1),YEAR(A250)+1,IF(AND(MONTH(A250)=1,_xlfn.ISOWEEKNUM(A250)&gt;50),YEAR(A250)-1,YEAR(A250))))</f>
        <v>S40_2025</v>
      </c>
      <c r="C250" s="7" t="n">
        <f aca="false">E250+G250+I250+K250+M250+O250+Q250+S250+U250+W250+Y250+AA250+AC250+AE250+AG250+AI250+AK250</f>
        <v>68</v>
      </c>
      <c r="D250" s="10" t="n">
        <v>0</v>
      </c>
      <c r="E250" s="10" t="n">
        <v>0</v>
      </c>
      <c r="F250" s="10" t="n">
        <v>0</v>
      </c>
      <c r="G250" s="10" t="n">
        <v>0</v>
      </c>
      <c r="H250" s="10" t="n">
        <v>0</v>
      </c>
      <c r="I250" s="10" t="n">
        <v>0</v>
      </c>
      <c r="J250" s="10" t="n">
        <v>0</v>
      </c>
      <c r="K250" s="10"/>
      <c r="L250" s="10"/>
      <c r="M250" s="10"/>
      <c r="N250" s="10"/>
      <c r="O250" s="10" t="n">
        <v>1</v>
      </c>
      <c r="P250" s="10"/>
      <c r="Q250" s="10"/>
      <c r="R250" s="10"/>
      <c r="S250" s="10" t="n">
        <v>67</v>
      </c>
      <c r="T250" s="10" t="n">
        <v>12</v>
      </c>
    </row>
    <row r="251" customFormat="false" ht="15" hidden="false" customHeight="false" outlineLevel="0" collapsed="false">
      <c r="A251" s="5" t="n">
        <v>45933</v>
      </c>
      <c r="B251" s="5" t="str">
        <f aca="false">CONCATENATE("S",_xlfn.ISOWEEKNUM(A251),"_",IF(AND(MONTH(A251)=12,_xlfn.ISOWEEKNUM(A251)=1),YEAR(A251)+1,IF(AND(MONTH(A251)=1,_xlfn.ISOWEEKNUM(A251)&gt;50),YEAR(A251)-1,YEAR(A251))))</f>
        <v>S40_2025</v>
      </c>
      <c r="C251" s="7" t="n">
        <f aca="false">E251+G251+I251+K251+M251+O251+Q251+S251+U251+W251+Y251+AA251+AC251+AE251+AG251+AI251+AK251</f>
        <v>141</v>
      </c>
      <c r="D251" s="10" t="n">
        <v>0</v>
      </c>
      <c r="E251" s="10" t="n">
        <v>0</v>
      </c>
      <c r="F251" s="10" t="n">
        <v>0</v>
      </c>
      <c r="G251" s="10" t="n">
        <v>0</v>
      </c>
      <c r="H251" s="10" t="n">
        <v>0</v>
      </c>
      <c r="I251" s="10"/>
      <c r="J251" s="10"/>
      <c r="K251" s="10"/>
      <c r="L251" s="10"/>
      <c r="M251" s="10" t="n">
        <v>1</v>
      </c>
      <c r="N251" s="10"/>
      <c r="O251" s="10"/>
      <c r="P251" s="10"/>
      <c r="Q251" s="10"/>
      <c r="R251" s="10"/>
      <c r="S251" s="10" t="n">
        <v>140</v>
      </c>
      <c r="T251" s="10" t="n">
        <v>10</v>
      </c>
    </row>
    <row r="252" customFormat="false" ht="15" hidden="false" customHeight="false" outlineLevel="0" collapsed="false">
      <c r="A252" s="5" t="n">
        <v>45934</v>
      </c>
      <c r="B252" s="5" t="str">
        <f aca="false">CONCATENATE("S",_xlfn.ISOWEEKNUM(A252),"_",IF(AND(MONTH(A252)=12,_xlfn.ISOWEEKNUM(A252)=1),YEAR(A252)+1,IF(AND(MONTH(A252)=1,_xlfn.ISOWEEKNUM(A252)&gt;50),YEAR(A252)-1,YEAR(A252))))</f>
        <v>S40_2025</v>
      </c>
      <c r="C252" s="7" t="n">
        <f aca="false">E252+G252+I252+K252+M252+O252+Q252+S252+U252+W252+Y252+AA252+AC252+AE252+AG252+AI252+AK252</f>
        <v>49</v>
      </c>
      <c r="D252" s="10" t="n">
        <v>0</v>
      </c>
      <c r="E252" s="10" t="n">
        <v>0</v>
      </c>
      <c r="F252" s="10" t="n">
        <v>0</v>
      </c>
      <c r="G252" s="10" t="n">
        <v>0</v>
      </c>
      <c r="H252" s="10" t="n">
        <v>0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 t="n">
        <v>49</v>
      </c>
      <c r="T252" s="10" t="n">
        <v>30</v>
      </c>
    </row>
    <row r="253" customFormat="false" ht="15" hidden="false" customHeight="false" outlineLevel="0" collapsed="false">
      <c r="A253" s="5" t="n">
        <v>45935</v>
      </c>
      <c r="B253" s="5" t="str">
        <f aca="false">CONCATENATE("S",_xlfn.ISOWEEKNUM(A253),"_",IF(AND(MONTH(A253)=12,_xlfn.ISOWEEKNUM(A253)=1),YEAR(A253)+1,IF(AND(MONTH(A253)=1,_xlfn.ISOWEEKNUM(A253)&gt;50),YEAR(A253)-1,YEAR(A253))))</f>
        <v>S40_2025</v>
      </c>
      <c r="C253" s="7" t="n">
        <f aca="false">E253+G253+I253+K253+M253+O253+Q253+S253+U253+W253+Y253+AA253+AC253+AE253+AG253+AI253+AK253</f>
        <v>104</v>
      </c>
      <c r="D253" s="10" t="n">
        <v>0</v>
      </c>
      <c r="E253" s="10" t="n">
        <v>0</v>
      </c>
      <c r="F253" s="10" t="n">
        <v>0</v>
      </c>
      <c r="G253" s="10" t="n">
        <v>0</v>
      </c>
      <c r="H253" s="10" t="n">
        <v>0</v>
      </c>
      <c r="I253" s="10" t="n">
        <v>2</v>
      </c>
      <c r="J253" s="10"/>
      <c r="K253" s="10"/>
      <c r="L253" s="10"/>
      <c r="M253" s="10"/>
      <c r="N253" s="10" t="n">
        <v>2</v>
      </c>
      <c r="O253" s="10" t="n">
        <v>5</v>
      </c>
      <c r="P253" s="10"/>
      <c r="Q253" s="10"/>
      <c r="R253" s="10"/>
      <c r="S253" s="10" t="n">
        <v>97</v>
      </c>
      <c r="T253" s="10" t="n">
        <v>24</v>
      </c>
    </row>
    <row r="254" customFormat="false" ht="15" hidden="false" customHeight="false" outlineLevel="0" collapsed="false">
      <c r="A254" s="6" t="n">
        <v>45936</v>
      </c>
      <c r="B254" s="6" t="str">
        <f aca="false">CONCATENATE("S",_xlfn.ISOWEEKNUM(A254),"_",IF(AND(MONTH(A254)=12,_xlfn.ISOWEEKNUM(A254)=1),YEAR(A254)+1,IF(AND(MONTH(A254)=1,_xlfn.ISOWEEKNUM(A254)&gt;50),YEAR(A254)-1,YEAR(A254))))</f>
        <v>S41_2025</v>
      </c>
      <c r="C254" s="7" t="n">
        <f aca="false">E254+G254+I254+K254+M254+O254+Q254+S254+U254+W254+Y254+AA254+AC254+AE254+AG254+AI254+AK254</f>
        <v>80</v>
      </c>
      <c r="D254" s="10" t="n">
        <v>0</v>
      </c>
      <c r="E254" s="10" t="n">
        <v>0</v>
      </c>
      <c r="F254" s="10" t="n">
        <v>0</v>
      </c>
      <c r="G254" s="10" t="n">
        <v>0</v>
      </c>
      <c r="H254" s="10" t="n">
        <v>0</v>
      </c>
      <c r="N254" s="1" t="n">
        <v>2</v>
      </c>
      <c r="S254" s="1" t="n">
        <v>80</v>
      </c>
      <c r="T254" s="1" t="n">
        <v>32</v>
      </c>
    </row>
    <row r="255" customFormat="false" ht="15" hidden="false" customHeight="false" outlineLevel="0" collapsed="false">
      <c r="A255" s="6" t="n">
        <v>45937</v>
      </c>
      <c r="B255" s="6" t="str">
        <f aca="false">CONCATENATE("S",_xlfn.ISOWEEKNUM(A255),"_",IF(AND(MONTH(A255)=12,_xlfn.ISOWEEKNUM(A255)=1),YEAR(A255)+1,IF(AND(MONTH(A255)=1,_xlfn.ISOWEEKNUM(A255)&gt;50),YEAR(A255)-1,YEAR(A255))))</f>
        <v>S41_2025</v>
      </c>
      <c r="C255" s="7" t="n">
        <f aca="false">E255+G255+I255+K255+M255+O255+Q255+S255+U255+W255+Y255+AA255+AC255+AE255+AG255+AI255+AK255</f>
        <v>128</v>
      </c>
      <c r="D255" s="10" t="n">
        <v>0</v>
      </c>
      <c r="E255" s="10" t="n">
        <v>0</v>
      </c>
      <c r="F255" s="10" t="n">
        <v>0</v>
      </c>
      <c r="G255" s="10" t="n">
        <v>0</v>
      </c>
      <c r="H255" s="10" t="n">
        <v>0</v>
      </c>
      <c r="S255" s="1" t="n">
        <v>128</v>
      </c>
      <c r="T255" s="1" t="n">
        <v>13</v>
      </c>
    </row>
    <row r="256" customFormat="false" ht="15" hidden="false" customHeight="false" outlineLevel="0" collapsed="false">
      <c r="A256" s="6" t="n">
        <v>45938</v>
      </c>
      <c r="B256" s="6" t="str">
        <f aca="false">CONCATENATE("S",_xlfn.ISOWEEKNUM(A256),"_",IF(AND(MONTH(A256)=12,_xlfn.ISOWEEKNUM(A256)=1),YEAR(A256)+1,IF(AND(MONTH(A256)=1,_xlfn.ISOWEEKNUM(A256)&gt;50),YEAR(A256)-1,YEAR(A256))))</f>
        <v>S41_2025</v>
      </c>
      <c r="C256" s="7" t="n">
        <f aca="false">E256+G256+I256+K256+M256+O256+Q256+S256+U256+W256+Y256+AA256+AC256+AE256+AG256+AI256+AK256</f>
        <v>62</v>
      </c>
      <c r="D256" s="10" t="n">
        <v>0</v>
      </c>
      <c r="E256" s="10" t="n">
        <v>0</v>
      </c>
      <c r="F256" s="10" t="n">
        <v>0</v>
      </c>
      <c r="G256" s="10" t="n">
        <v>0</v>
      </c>
      <c r="H256" s="10" t="n">
        <v>0</v>
      </c>
      <c r="J256" s="1" t="n">
        <v>3</v>
      </c>
      <c r="O256" s="1" t="n">
        <v>2</v>
      </c>
      <c r="S256" s="1" t="n">
        <v>60</v>
      </c>
      <c r="T256" s="1" t="n">
        <v>15</v>
      </c>
    </row>
    <row r="257" customFormat="false" ht="15" hidden="false" customHeight="false" outlineLevel="0" collapsed="false">
      <c r="A257" s="6" t="n">
        <v>45939</v>
      </c>
      <c r="B257" s="6" t="str">
        <f aca="false">CONCATENATE("S",_xlfn.ISOWEEKNUM(A257),"_",IF(AND(MONTH(A257)=12,_xlfn.ISOWEEKNUM(A257)=1),YEAR(A257)+1,IF(AND(MONTH(A257)=1,_xlfn.ISOWEEKNUM(A257)&gt;50),YEAR(A257)-1,YEAR(A257))))</f>
        <v>S41_2025</v>
      </c>
      <c r="C257" s="7" t="n">
        <f aca="false">E257+G257+I257+K257+M257+O257+Q257+S257+U257+W257+Y257+AA257+AC257+AE257+AG257+AI257+AK257</f>
        <v>78</v>
      </c>
      <c r="D257" s="10" t="n">
        <v>0</v>
      </c>
      <c r="E257" s="1" t="n">
        <v>3</v>
      </c>
      <c r="F257" s="10" t="n">
        <v>0</v>
      </c>
      <c r="G257" s="10" t="n">
        <v>0</v>
      </c>
      <c r="H257" s="10" t="n">
        <v>0</v>
      </c>
      <c r="L257" s="1" t="n">
        <v>2</v>
      </c>
      <c r="S257" s="1" t="n">
        <v>75</v>
      </c>
      <c r="T257" s="1" t="n">
        <v>4</v>
      </c>
    </row>
    <row r="258" customFormat="false" ht="15" hidden="false" customHeight="false" outlineLevel="0" collapsed="false">
      <c r="A258" s="6" t="n">
        <v>45940</v>
      </c>
      <c r="B258" s="6" t="str">
        <f aca="false">CONCATENATE("S",_xlfn.ISOWEEKNUM(A258),"_",IF(AND(MONTH(A258)=12,_xlfn.ISOWEEKNUM(A258)=1),YEAR(A258)+1,IF(AND(MONTH(A258)=1,_xlfn.ISOWEEKNUM(A258)&gt;50),YEAR(A258)-1,YEAR(A258))))</f>
        <v>S41_2025</v>
      </c>
      <c r="C258" s="7" t="n">
        <f aca="false">E258+G258+I258+K258+M258+O258+Q258+S258+U258+W258+Y258+AA258+AC258+AE258+AG258+AI258+AK258</f>
        <v>95</v>
      </c>
      <c r="D258" s="10" t="n">
        <v>0</v>
      </c>
      <c r="E258" s="10" t="n">
        <v>0</v>
      </c>
      <c r="F258" s="10" t="n">
        <v>0</v>
      </c>
      <c r="G258" s="10" t="n">
        <v>0</v>
      </c>
      <c r="H258" s="10" t="n">
        <v>0</v>
      </c>
      <c r="S258" s="1" t="n">
        <v>95</v>
      </c>
      <c r="T258" s="1" t="n">
        <v>6</v>
      </c>
    </row>
    <row r="259" customFormat="false" ht="15" hidden="false" customHeight="false" outlineLevel="0" collapsed="false">
      <c r="A259" s="6" t="n">
        <v>45941</v>
      </c>
      <c r="B259" s="6" t="str">
        <f aca="false">CONCATENATE("S",_xlfn.ISOWEEKNUM(A259),"_",IF(AND(MONTH(A259)=12,_xlfn.ISOWEEKNUM(A259)=1),YEAR(A259)+1,IF(AND(MONTH(A259)=1,_xlfn.ISOWEEKNUM(A259)&gt;50),YEAR(A259)-1,YEAR(A259))))</f>
        <v>S41_2025</v>
      </c>
      <c r="C259" s="7" t="n">
        <f aca="false">E259+G259+I259+K259+M259+O259+Q259+S259+U259+W259+Y259+AA259+AC259+AE259+AG259+AI259+AK259</f>
        <v>108</v>
      </c>
      <c r="D259" s="1" t="n">
        <v>1</v>
      </c>
      <c r="E259" s="1" t="n">
        <v>1</v>
      </c>
      <c r="F259" s="10" t="n">
        <v>0</v>
      </c>
      <c r="G259" s="10" t="n">
        <v>0</v>
      </c>
      <c r="H259" s="10" t="n">
        <v>0</v>
      </c>
      <c r="J259" s="1" t="n">
        <v>1</v>
      </c>
      <c r="S259" s="1" t="n">
        <v>107</v>
      </c>
      <c r="T259" s="1" t="n">
        <v>7</v>
      </c>
    </row>
    <row r="260" customFormat="false" ht="15" hidden="false" customHeight="false" outlineLevel="0" collapsed="false">
      <c r="A260" s="6" t="n">
        <v>45942</v>
      </c>
      <c r="B260" s="6" t="str">
        <f aca="false">CONCATENATE("S",_xlfn.ISOWEEKNUM(A260),"_",IF(AND(MONTH(A260)=12,_xlfn.ISOWEEKNUM(A260)=1),YEAR(A260)+1,IF(AND(MONTH(A260)=1,_xlfn.ISOWEEKNUM(A260)&gt;50),YEAR(A260)-1,YEAR(A260))))</f>
        <v>S41_2025</v>
      </c>
      <c r="C260" s="7" t="n">
        <f aca="false">E260+G260+I260+K260+M260+O260+Q260+S260+U260+W260+Y260+AA260+AC260+AE260+AG260+AI260+AK260</f>
        <v>114</v>
      </c>
      <c r="D260" s="10" t="n">
        <v>0</v>
      </c>
      <c r="E260" s="10" t="n">
        <v>0</v>
      </c>
      <c r="F260" s="10" t="n">
        <v>0</v>
      </c>
      <c r="G260" s="10" t="n">
        <v>0</v>
      </c>
      <c r="H260" s="10" t="n">
        <v>0</v>
      </c>
      <c r="J260" s="1" t="n">
        <v>1</v>
      </c>
      <c r="K260" s="1" t="n">
        <v>2</v>
      </c>
      <c r="L260" s="1" t="n">
        <v>2</v>
      </c>
      <c r="M260" s="1" t="n">
        <v>2</v>
      </c>
      <c r="N260" s="1" t="n">
        <v>2</v>
      </c>
      <c r="O260" s="1" t="n">
        <v>0</v>
      </c>
      <c r="P260" s="1" t="n">
        <v>2</v>
      </c>
      <c r="Q260" s="1" t="n">
        <v>0</v>
      </c>
      <c r="R260" s="1" t="n">
        <v>0</v>
      </c>
      <c r="S260" s="1" t="n">
        <v>110</v>
      </c>
      <c r="T260" s="1" t="n">
        <v>13</v>
      </c>
    </row>
    <row r="261" customFormat="false" ht="15" hidden="false" customHeight="false" outlineLevel="0" collapsed="false">
      <c r="A261" s="11" t="n">
        <v>45943</v>
      </c>
      <c r="B261" s="11" t="str">
        <f aca="false">CONCATENATE("S",_xlfn.ISOWEEKNUM(A261),"_",IF(AND(MONTH(A261)=12,_xlfn.ISOWEEKNUM(A261)=1),YEAR(A261)+1,IF(AND(MONTH(A261)=1,_xlfn.ISOWEEKNUM(A261)&gt;50),YEAR(A261)-1,YEAR(A261))))</f>
        <v>S42_2025</v>
      </c>
      <c r="C261" s="7" t="n">
        <f aca="false">E261+G261+I261+K261+M261+O261+Q261+S261+U261+W261+Y261+AA261+AC261+AE261+AG261+AI261+AK261</f>
        <v>160</v>
      </c>
      <c r="D261" s="10" t="n">
        <v>0</v>
      </c>
      <c r="E261" s="10" t="n">
        <v>0</v>
      </c>
      <c r="F261" s="10" t="n">
        <v>0</v>
      </c>
      <c r="G261" s="10" t="n">
        <v>0</v>
      </c>
      <c r="H261" s="10" t="n">
        <v>0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 t="n">
        <v>160</v>
      </c>
      <c r="T261" s="7" t="n">
        <v>9</v>
      </c>
    </row>
    <row r="262" customFormat="false" ht="15" hidden="false" customHeight="false" outlineLevel="0" collapsed="false">
      <c r="A262" s="11" t="n">
        <v>45944</v>
      </c>
      <c r="B262" s="11" t="str">
        <f aca="false">CONCATENATE("S",_xlfn.ISOWEEKNUM(A262),"_",IF(AND(MONTH(A262)=12,_xlfn.ISOWEEKNUM(A262)=1),YEAR(A262)+1,IF(AND(MONTH(A262)=1,_xlfn.ISOWEEKNUM(A262)&gt;50),YEAR(A262)-1,YEAR(A262))))</f>
        <v>S42_2025</v>
      </c>
      <c r="C262" s="7" t="n">
        <f aca="false">E262+G262+I262+K262+M262+O262+Q262+S262+U262+W262+Y262+AA262+AC262+AE262+AG262+AI262+AK262</f>
        <v>120</v>
      </c>
      <c r="D262" s="10" t="n">
        <v>0</v>
      </c>
      <c r="E262" s="10" t="n">
        <v>0</v>
      </c>
      <c r="F262" s="10" t="n">
        <v>0</v>
      </c>
      <c r="G262" s="7"/>
      <c r="H262" s="7"/>
      <c r="I262" s="7"/>
      <c r="J262" s="7"/>
      <c r="K262" s="7"/>
      <c r="L262" s="7"/>
      <c r="M262" s="7" t="n">
        <v>0</v>
      </c>
      <c r="N262" s="7" t="n">
        <v>3</v>
      </c>
      <c r="O262" s="7" t="n">
        <v>0</v>
      </c>
      <c r="P262" s="7"/>
      <c r="Q262" s="7"/>
      <c r="R262" s="7"/>
      <c r="S262" s="7" t="n">
        <v>120</v>
      </c>
      <c r="T262" s="7" t="n">
        <v>4</v>
      </c>
    </row>
    <row r="263" customFormat="false" ht="15" hidden="false" customHeight="false" outlineLevel="0" collapsed="false">
      <c r="A263" s="11" t="n">
        <v>45945</v>
      </c>
      <c r="B263" s="11" t="str">
        <f aca="false">CONCATENATE("S",_xlfn.ISOWEEKNUM(A263),"_",IF(AND(MONTH(A263)=12,_xlfn.ISOWEEKNUM(A263)=1),YEAR(A263)+1,IF(AND(MONTH(A263)=1,_xlfn.ISOWEEKNUM(A263)&gt;50),YEAR(A263)-1,YEAR(A263))))</f>
        <v>S42_2025</v>
      </c>
      <c r="C263" s="7" t="n">
        <f aca="false">E263+G263+I263+K263+M263+O263+Q263+S263+U263+W263+Y263+AA263+AC263+AE263+AG263+AI263+AK263</f>
        <v>105</v>
      </c>
      <c r="D263" s="10" t="n">
        <v>0</v>
      </c>
      <c r="E263" s="10" t="n">
        <v>0</v>
      </c>
      <c r="F263" s="10" t="n">
        <v>0</v>
      </c>
      <c r="G263" s="7"/>
      <c r="H263" s="7"/>
      <c r="I263" s="7" t="n">
        <v>1</v>
      </c>
      <c r="J263" s="7"/>
      <c r="K263" s="7"/>
      <c r="L263" s="7"/>
      <c r="M263" s="7" t="n">
        <v>1</v>
      </c>
      <c r="N263" s="7" t="n">
        <v>0</v>
      </c>
      <c r="O263" s="7" t="n">
        <v>3</v>
      </c>
      <c r="P263" s="7"/>
      <c r="Q263" s="7"/>
      <c r="R263" s="7"/>
      <c r="S263" s="7" t="n">
        <v>100</v>
      </c>
      <c r="T263" s="7" t="n">
        <v>4</v>
      </c>
    </row>
    <row r="264" customFormat="false" ht="15" hidden="false" customHeight="false" outlineLevel="0" collapsed="false">
      <c r="A264" s="11" t="n">
        <v>45946</v>
      </c>
      <c r="B264" s="11" t="str">
        <f aca="false">CONCATENATE("S",_xlfn.ISOWEEKNUM(A264),"_",IF(AND(MONTH(A264)=12,_xlfn.ISOWEEKNUM(A264)=1),YEAR(A264)+1,IF(AND(MONTH(A264)=1,_xlfn.ISOWEEKNUM(A264)&gt;50),YEAR(A264)-1,YEAR(A264))))</f>
        <v>S42_2025</v>
      </c>
      <c r="C264" s="7" t="n">
        <f aca="false">E264+G264+I264+K264+M264+O264+Q264+S264+U264+W264+Y264+AA264+AC264+AE264+AG264+AI264+AK264</f>
        <v>112</v>
      </c>
      <c r="D264" s="7" t="n">
        <v>2</v>
      </c>
      <c r="E264" s="10" t="n">
        <v>0</v>
      </c>
      <c r="F264" s="10" t="n">
        <v>0</v>
      </c>
      <c r="G264" s="7"/>
      <c r="H264" s="7"/>
      <c r="I264" s="7"/>
      <c r="J264" s="7"/>
      <c r="K264" s="7"/>
      <c r="L264" s="7"/>
      <c r="M264" s="7"/>
      <c r="N264" s="7" t="n">
        <v>16</v>
      </c>
      <c r="O264" s="7"/>
      <c r="P264" s="7"/>
      <c r="Q264" s="7"/>
      <c r="R264" s="7"/>
      <c r="S264" s="7" t="n">
        <v>112</v>
      </c>
      <c r="T264" s="7" t="n">
        <v>4</v>
      </c>
    </row>
    <row r="265" customFormat="false" ht="15" hidden="false" customHeight="false" outlineLevel="0" collapsed="false">
      <c r="A265" s="11" t="n">
        <v>45947</v>
      </c>
      <c r="B265" s="11" t="str">
        <f aca="false">CONCATENATE("S",_xlfn.ISOWEEKNUM(A265),"_",IF(AND(MONTH(A265)=12,_xlfn.ISOWEEKNUM(A265)=1),YEAR(A265)+1,IF(AND(MONTH(A265)=1,_xlfn.ISOWEEKNUM(A265)&gt;50),YEAR(A265)-1,YEAR(A265))))</f>
        <v>S42_2025</v>
      </c>
      <c r="C265" s="7" t="n">
        <f aca="false">E265+G265+I265+K265+M265+O265+Q265+S265+U265+W265+Y265+AA265+AC265+AE265+AG265+AI265+AK265</f>
        <v>100</v>
      </c>
      <c r="D265" s="7" t="n">
        <v>0</v>
      </c>
      <c r="E265" s="7" t="n">
        <v>2</v>
      </c>
      <c r="F265" s="10" t="n">
        <v>0</v>
      </c>
      <c r="G265" s="7"/>
      <c r="H265" s="7" t="n">
        <v>1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 t="n">
        <v>98</v>
      </c>
      <c r="T265" s="7" t="n">
        <v>15</v>
      </c>
    </row>
    <row r="266" customFormat="false" ht="15" hidden="false" customHeight="false" outlineLevel="0" collapsed="false">
      <c r="A266" s="11" t="n">
        <v>45948</v>
      </c>
      <c r="B266" s="11" t="str">
        <f aca="false">CONCATENATE("S",_xlfn.ISOWEEKNUM(A266),"_",IF(AND(MONTH(A266)=12,_xlfn.ISOWEEKNUM(A266)=1),YEAR(A266)+1,IF(AND(MONTH(A266)=1,_xlfn.ISOWEEKNUM(A266)&gt;50),YEAR(A266)-1,YEAR(A266))))</f>
        <v>S42_2025</v>
      </c>
      <c r="C266" s="7" t="n">
        <f aca="false">E266+G266+I266+K266+M266+O266+Q266+S266+U266+W266+Y266+AA266+AC266+AE266+AG266+AI266+AK266</f>
        <v>123</v>
      </c>
      <c r="D266" s="7" t="n">
        <v>0</v>
      </c>
      <c r="E266" s="7" t="n">
        <v>0</v>
      </c>
      <c r="F266" s="7" t="n">
        <v>2</v>
      </c>
      <c r="G266" s="7"/>
      <c r="H266" s="7" t="n">
        <v>2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 t="n">
        <v>123</v>
      </c>
      <c r="T266" s="7" t="n">
        <v>6</v>
      </c>
    </row>
    <row r="267" customFormat="false" ht="15" hidden="false" customHeight="false" outlineLevel="0" collapsed="false">
      <c r="A267" s="11" t="n">
        <v>45949</v>
      </c>
      <c r="B267" s="11" t="str">
        <f aca="false">CONCATENATE("S",_xlfn.ISOWEEKNUM(A267),"_",IF(AND(MONTH(A267)=12,_xlfn.ISOWEEKNUM(A267)=1),YEAR(A267)+1,IF(AND(MONTH(A267)=1,_xlfn.ISOWEEKNUM(A267)&gt;50),YEAR(A267)-1,YEAR(A267))))</f>
        <v>S42_2025</v>
      </c>
      <c r="C267" s="7" t="n">
        <f aca="false">E267+G267+I267+K267+M267+O267+Q267+S267+U267+W267+Y267+AA267+AC267+AE267+AG267+AI267+AK267</f>
        <v>115</v>
      </c>
      <c r="D267" s="7" t="n">
        <v>0</v>
      </c>
      <c r="E267" s="7" t="n">
        <v>0</v>
      </c>
      <c r="F267" s="7" t="n">
        <v>0</v>
      </c>
      <c r="G267" s="7"/>
      <c r="H267" s="7"/>
      <c r="I267" s="7"/>
      <c r="J267" s="7" t="n">
        <v>1</v>
      </c>
      <c r="K267" s="7"/>
      <c r="L267" s="7"/>
      <c r="M267" s="7" t="n">
        <v>1</v>
      </c>
      <c r="N267" s="7"/>
      <c r="O267" s="7" t="n">
        <v>3</v>
      </c>
      <c r="P267" s="7"/>
      <c r="Q267" s="7"/>
      <c r="R267" s="7"/>
      <c r="S267" s="7" t="n">
        <v>111</v>
      </c>
      <c r="T267" s="7" t="n">
        <v>23</v>
      </c>
    </row>
    <row r="268" customFormat="false" ht="15" hidden="false" customHeight="false" outlineLevel="0" collapsed="false">
      <c r="A268" s="6" t="n">
        <v>45950</v>
      </c>
      <c r="B268" s="6" t="str">
        <f aca="false">CONCATENATE("S",_xlfn.ISOWEEKNUM(A268),"_",IF(AND(MONTH(A268)=12,_xlfn.ISOWEEKNUM(A268)=1),YEAR(A268)+1,IF(AND(MONTH(A268)=1,_xlfn.ISOWEEKNUM(A268)&gt;50),YEAR(A268)-1,YEAR(A268))))</f>
        <v>S43_2025</v>
      </c>
      <c r="C268" s="7" t="n">
        <f aca="false">E268+G268+I268+K268+M268+O268+Q268+S268+U268+W268+Y268+AA268+AC268+AE268+AG268+AI268+AK268</f>
        <v>100</v>
      </c>
      <c r="D268" s="1" t="n">
        <v>1</v>
      </c>
      <c r="E268" s="7" t="n">
        <v>0</v>
      </c>
      <c r="F268" s="7" t="n">
        <v>0</v>
      </c>
      <c r="S268" s="1" t="n">
        <v>100</v>
      </c>
      <c r="T268" s="1" t="n">
        <v>13</v>
      </c>
    </row>
    <row r="269" customFormat="false" ht="15" hidden="false" customHeight="false" outlineLevel="0" collapsed="false">
      <c r="A269" s="6" t="n">
        <v>45951</v>
      </c>
      <c r="B269" s="6" t="str">
        <f aca="false">CONCATENATE("S",_xlfn.ISOWEEKNUM(A269),"_",IF(AND(MONTH(A269)=12,_xlfn.ISOWEEKNUM(A269)=1),YEAR(A269)+1,IF(AND(MONTH(A269)=1,_xlfn.ISOWEEKNUM(A269)&gt;50),YEAR(A269)-1,YEAR(A269))))</f>
        <v>S43_2025</v>
      </c>
      <c r="C269" s="7" t="n">
        <f aca="false">E269+G269+I269+K269+M269+O269+Q269+S269+U269+W269+Y269+AA269+AC269+AE269+AG269+AI269+AK269</f>
        <v>164</v>
      </c>
      <c r="D269" s="7" t="n">
        <v>0</v>
      </c>
      <c r="E269" s="7" t="n">
        <v>0</v>
      </c>
      <c r="F269" s="1" t="n">
        <v>4</v>
      </c>
      <c r="H269" s="1" t="n">
        <v>1</v>
      </c>
      <c r="K269" s="1" t="n">
        <v>2</v>
      </c>
      <c r="N269" s="1" t="n">
        <v>2</v>
      </c>
      <c r="S269" s="1" t="n">
        <v>162</v>
      </c>
      <c r="T269" s="1" t="n">
        <v>11</v>
      </c>
    </row>
    <row r="270" customFormat="false" ht="15" hidden="false" customHeight="false" outlineLevel="0" collapsed="false">
      <c r="A270" s="6" t="n">
        <v>45952</v>
      </c>
      <c r="B270" s="6" t="str">
        <f aca="false">CONCATENATE("S",_xlfn.ISOWEEKNUM(A270),"_",IF(AND(MONTH(A270)=12,_xlfn.ISOWEEKNUM(A270)=1),YEAR(A270)+1,IF(AND(MONTH(A270)=1,_xlfn.ISOWEEKNUM(A270)&gt;50),YEAR(A270)-1,YEAR(A270))))</f>
        <v>S43_2025</v>
      </c>
      <c r="C270" s="7" t="n">
        <f aca="false">E270+G270+I270+K270+M270+O270+Q270+S270+U270+W270+Y270+AA270+AC270+AE270+AG270+AI270+AK270</f>
        <v>119</v>
      </c>
      <c r="D270" s="7" t="n">
        <v>0</v>
      </c>
      <c r="E270" s="7" t="n">
        <v>0</v>
      </c>
      <c r="F270" s="7" t="n">
        <v>0</v>
      </c>
      <c r="J270" s="1" t="n">
        <v>2</v>
      </c>
      <c r="L270" s="1" t="n">
        <v>3</v>
      </c>
      <c r="M270" s="1" t="n">
        <v>1</v>
      </c>
      <c r="O270" s="1" t="n">
        <v>1</v>
      </c>
      <c r="S270" s="1" t="n">
        <v>117</v>
      </c>
      <c r="T270" s="1" t="n">
        <v>9</v>
      </c>
    </row>
    <row r="271" customFormat="false" ht="15" hidden="false" customHeight="false" outlineLevel="0" collapsed="false">
      <c r="A271" s="6" t="n">
        <v>45953</v>
      </c>
      <c r="B271" s="6" t="str">
        <f aca="false">CONCATENATE("S",_xlfn.ISOWEEKNUM(A271),"_",IF(AND(MONTH(A271)=12,_xlfn.ISOWEEKNUM(A271)=1),YEAR(A271)+1,IF(AND(MONTH(A271)=1,_xlfn.ISOWEEKNUM(A271)&gt;50),YEAR(A271)-1,YEAR(A271))))</f>
        <v>S43_2025</v>
      </c>
      <c r="C271" s="7" t="n">
        <f aca="false">E271+G271+I271+K271+M271+O271+Q271+S271+U271+W271+Y271+AA271+AC271+AE271+AG271+AI271+AK271</f>
        <v>142</v>
      </c>
      <c r="D271" s="7" t="n">
        <v>0</v>
      </c>
      <c r="E271" s="7" t="n">
        <v>0</v>
      </c>
      <c r="F271" s="7" t="n">
        <v>0</v>
      </c>
      <c r="S271" s="1" t="n">
        <v>142</v>
      </c>
      <c r="T271" s="1" t="n">
        <v>12</v>
      </c>
    </row>
    <row r="272" customFormat="false" ht="15" hidden="false" customHeight="false" outlineLevel="0" collapsed="false">
      <c r="A272" s="6" t="n">
        <v>45954</v>
      </c>
      <c r="B272" s="6" t="str">
        <f aca="false">CONCATENATE("S",_xlfn.ISOWEEKNUM(A272),"_",IF(AND(MONTH(A272)=12,_xlfn.ISOWEEKNUM(A272)=1),YEAR(A272)+1,IF(AND(MONTH(A272)=1,_xlfn.ISOWEEKNUM(A272)&gt;50),YEAR(A272)-1,YEAR(A272))))</f>
        <v>S43_2025</v>
      </c>
      <c r="C272" s="7" t="n">
        <f aca="false">E272+G272+I272+K272+M272+O272+Q272+S272+U272+W272+Y272+AA272+AC272+AE272+AG272+AI272+AK272</f>
        <v>111</v>
      </c>
      <c r="D272" s="7" t="n">
        <v>0</v>
      </c>
      <c r="E272" s="7" t="n">
        <v>0</v>
      </c>
      <c r="F272" s="7" t="n">
        <v>0</v>
      </c>
      <c r="S272" s="1" t="n">
        <v>111</v>
      </c>
      <c r="T272" s="1" t="n">
        <v>9</v>
      </c>
    </row>
    <row r="273" customFormat="false" ht="15" hidden="false" customHeight="false" outlineLevel="0" collapsed="false">
      <c r="A273" s="6" t="n">
        <v>45955</v>
      </c>
      <c r="B273" s="6" t="str">
        <f aca="false">CONCATENATE("S",_xlfn.ISOWEEKNUM(A273),"_",IF(AND(MONTH(A273)=12,_xlfn.ISOWEEKNUM(A273)=1),YEAR(A273)+1,IF(AND(MONTH(A273)=1,_xlfn.ISOWEEKNUM(A273)&gt;50),YEAR(A273)-1,YEAR(A273))))</f>
        <v>S43_2025</v>
      </c>
      <c r="C273" s="7" t="n">
        <f aca="false">E273+G273+I273+K273+M273+O273+Q273+S273+U273+W273+Y273+AA273+AC273+AE273+AG273+AI273+AK273</f>
        <v>99</v>
      </c>
      <c r="D273" s="7" t="n">
        <v>0</v>
      </c>
      <c r="E273" s="7" t="n">
        <v>0</v>
      </c>
      <c r="F273" s="7" t="n">
        <v>0</v>
      </c>
      <c r="S273" s="1" t="n">
        <v>99</v>
      </c>
      <c r="T273" s="1" t="n">
        <v>12</v>
      </c>
    </row>
    <row r="274" customFormat="false" ht="15" hidden="false" customHeight="false" outlineLevel="0" collapsed="false">
      <c r="A274" s="6" t="n">
        <v>45956</v>
      </c>
      <c r="B274" s="6" t="str">
        <f aca="false">CONCATENATE("S",_xlfn.ISOWEEKNUM(A274),"_",IF(AND(MONTH(A274)=12,_xlfn.ISOWEEKNUM(A274)=1),YEAR(A274)+1,IF(AND(MONTH(A274)=1,_xlfn.ISOWEEKNUM(A274)&gt;50),YEAR(A274)-1,YEAR(A274))))</f>
        <v>S43_2025</v>
      </c>
      <c r="C274" s="7" t="n">
        <f aca="false">E274+G274+I274+K274+M274+O274+Q274+S274+U274+W274+Y274+AA274+AC274+AE274+AG274+AI274+AK274</f>
        <v>46</v>
      </c>
      <c r="D274" s="7" t="n">
        <v>0</v>
      </c>
      <c r="E274" s="7" t="n">
        <v>0</v>
      </c>
      <c r="F274" s="7" t="n">
        <v>0</v>
      </c>
      <c r="S274" s="1" t="n">
        <v>46</v>
      </c>
      <c r="T274" s="1" t="n">
        <v>11</v>
      </c>
    </row>
    <row r="275" customFormat="false" ht="15" hidden="false" customHeight="false" outlineLevel="0" collapsed="false">
      <c r="A275" s="6" t="n">
        <v>45957</v>
      </c>
      <c r="B275" s="6" t="str">
        <f aca="false">CONCATENATE("S",_xlfn.ISOWEEKNUM(A275),"_",IF(AND(MONTH(A275)=12,_xlfn.ISOWEEKNUM(A275)=1),YEAR(A275)+1,IF(AND(MONTH(A275)=1,_xlfn.ISOWEEKNUM(A275)&gt;50),YEAR(A275)-1,YEAR(A275))))</f>
        <v>S44_2025</v>
      </c>
      <c r="C275" s="7" t="n">
        <f aca="false">E275+G275+I275+K275+M275+O275+Q275+S275+U275+W275+Y275+AA275+AC275+AE275+AG275+AI275+AK275</f>
        <v>101</v>
      </c>
      <c r="D275" s="7" t="n">
        <v>0</v>
      </c>
      <c r="E275" s="7" t="n">
        <v>0</v>
      </c>
      <c r="F275" s="7" t="n">
        <v>0</v>
      </c>
      <c r="S275" s="1" t="n">
        <v>101</v>
      </c>
      <c r="T275" s="1" t="n">
        <v>10</v>
      </c>
    </row>
    <row r="276" customFormat="false" ht="15" hidden="false" customHeight="false" outlineLevel="0" collapsed="false">
      <c r="A276" s="6" t="n">
        <v>45958</v>
      </c>
      <c r="B276" s="6" t="str">
        <f aca="false">CONCATENATE("S",_xlfn.ISOWEEKNUM(A276),"_",IF(AND(MONTH(A276)=12,_xlfn.ISOWEEKNUM(A276)=1),YEAR(A276)+1,IF(AND(MONTH(A276)=1,_xlfn.ISOWEEKNUM(A276)&gt;50),YEAR(A276)-1,YEAR(A276))))</f>
        <v>S44_2025</v>
      </c>
      <c r="C276" s="7" t="n">
        <f aca="false">E276+G276+I276+K276+M276+O276+Q276+S276+U276+W276+Y276+AA276+AC276+AE276+AG276+AI276+AK276</f>
        <v>112</v>
      </c>
      <c r="D276" s="1" t="n">
        <v>2</v>
      </c>
      <c r="E276" s="7" t="n">
        <v>0</v>
      </c>
      <c r="F276" s="7" t="n">
        <v>0</v>
      </c>
      <c r="S276" s="1" t="n">
        <v>112</v>
      </c>
      <c r="T276" s="1" t="n">
        <v>9</v>
      </c>
    </row>
    <row r="277" customFormat="false" ht="15" hidden="false" customHeight="false" outlineLevel="0" collapsed="false">
      <c r="A277" s="6" t="n">
        <v>45959</v>
      </c>
      <c r="B277" s="6" t="str">
        <f aca="false">CONCATENATE("S",_xlfn.ISOWEEKNUM(A277),"_",IF(AND(MONTH(A277)=12,_xlfn.ISOWEEKNUM(A277)=1),YEAR(A277)+1,IF(AND(MONTH(A277)=1,_xlfn.ISOWEEKNUM(A277)&gt;50),YEAR(A277)-1,YEAR(A277))))</f>
        <v>S44_2025</v>
      </c>
      <c r="C277" s="7" t="n">
        <f aca="false">E277+G277+I277+K277+M277+O277+Q277+S277+U277+W277+Y277+AA277+AC277+AE277+AG277+AI277+AK277</f>
        <v>110</v>
      </c>
      <c r="D277" s="7" t="n">
        <v>0</v>
      </c>
      <c r="E277" s="7" t="n">
        <v>0</v>
      </c>
      <c r="F277" s="1" t="n">
        <v>2</v>
      </c>
      <c r="M277" s="1" t="n">
        <v>1</v>
      </c>
      <c r="S277" s="1" t="n">
        <v>109</v>
      </c>
      <c r="T277" s="1" t="n">
        <v>7</v>
      </c>
    </row>
    <row r="278" customFormat="false" ht="15" hidden="false" customHeight="false" outlineLevel="0" collapsed="false">
      <c r="A278" s="6" t="n">
        <v>45960</v>
      </c>
      <c r="B278" s="6" t="str">
        <f aca="false">CONCATENATE("S",_xlfn.ISOWEEKNUM(A278),"_",IF(AND(MONTH(A278)=12,_xlfn.ISOWEEKNUM(A278)=1),YEAR(A278)+1,IF(AND(MONTH(A278)=1,_xlfn.ISOWEEKNUM(A278)&gt;50),YEAR(A278)-1,YEAR(A278))))</f>
        <v>S44_2025</v>
      </c>
      <c r="C278" s="7" t="n">
        <f aca="false">E278+G278+I278+K278+M278+O278+Q278+S278+U278+W278+Y278+AA278+AC278+AE278+AG278+AI278+AK278</f>
        <v>102</v>
      </c>
      <c r="D278" s="7" t="n">
        <v>0</v>
      </c>
      <c r="E278" s="7" t="n">
        <v>0</v>
      </c>
      <c r="F278" s="7" t="n">
        <v>0</v>
      </c>
      <c r="H278" s="1" t="n">
        <v>1</v>
      </c>
      <c r="L278" s="1" t="n">
        <v>1</v>
      </c>
      <c r="N278" s="1" t="n">
        <v>1</v>
      </c>
      <c r="O278" s="1" t="n">
        <v>4</v>
      </c>
      <c r="S278" s="1" t="n">
        <v>98</v>
      </c>
      <c r="T278" s="1" t="n">
        <v>6</v>
      </c>
    </row>
    <row r="279" customFormat="false" ht="15" hidden="false" customHeight="false" outlineLevel="0" collapsed="false">
      <c r="A279" s="6" t="n">
        <v>45961</v>
      </c>
      <c r="B279" s="6" t="str">
        <f aca="false">CONCATENATE("S",_xlfn.ISOWEEKNUM(A279),"_",IF(AND(MONTH(A279)=12,_xlfn.ISOWEEKNUM(A279)=1),YEAR(A279)+1,IF(AND(MONTH(A279)=1,_xlfn.ISOWEEKNUM(A279)&gt;50),YEAR(A279)-1,YEAR(A279))))</f>
        <v>S44_2025</v>
      </c>
      <c r="C279" s="7" t="n">
        <f aca="false">E279+G279+I279+K279+M279+O279+Q279+S279+U279+W279+Y279+AA279+AC279+AE279+AG279+AI279+AK279</f>
        <v>154</v>
      </c>
      <c r="D279" s="1" t="n">
        <v>3</v>
      </c>
      <c r="E279" s="7" t="n">
        <v>0</v>
      </c>
      <c r="F279" s="7" t="n">
        <v>0</v>
      </c>
      <c r="J279" s="1" t="n">
        <v>2</v>
      </c>
      <c r="S279" s="1" t="n">
        <v>154</v>
      </c>
      <c r="T279" s="1" t="n">
        <v>16</v>
      </c>
    </row>
    <row r="280" customFormat="false" ht="15" hidden="false" customHeight="false" outlineLevel="0" collapsed="false">
      <c r="A280" s="6" t="n">
        <v>45962</v>
      </c>
      <c r="B280" s="6" t="str">
        <f aca="false">CONCATENATE("S",_xlfn.ISOWEEKNUM(A280),"_",IF(AND(MONTH(A280)=12,_xlfn.ISOWEEKNUM(A280)=1),YEAR(A280)+1,IF(AND(MONTH(A280)=1,_xlfn.ISOWEEKNUM(A280)&gt;50),YEAR(A280)-1,YEAR(A280))))</f>
        <v>S44_2025</v>
      </c>
      <c r="C280" s="7" t="n">
        <f aca="false">E280+G280+I280+K280+M280+O280+Q280+S280+U280+W280+Y280+AA280+AC280+AE280+AG280+AI280+AK280</f>
        <v>133</v>
      </c>
      <c r="D280" s="7" t="n">
        <v>0</v>
      </c>
      <c r="E280" s="7" t="n">
        <v>0</v>
      </c>
      <c r="F280" s="7" t="n">
        <v>0</v>
      </c>
      <c r="M280" s="1" t="n">
        <v>1</v>
      </c>
      <c r="S280" s="1" t="n">
        <v>132</v>
      </c>
      <c r="T280" s="1" t="n">
        <v>25</v>
      </c>
    </row>
    <row r="281" customFormat="false" ht="15" hidden="false" customHeight="false" outlineLevel="0" collapsed="false">
      <c r="A281" s="6" t="n">
        <v>45963</v>
      </c>
      <c r="B281" s="6" t="str">
        <f aca="false">CONCATENATE("S",_xlfn.ISOWEEKNUM(A281),"_",IF(AND(MONTH(A281)=12,_xlfn.ISOWEEKNUM(A281)=1),YEAR(A281)+1,IF(AND(MONTH(A281)=1,_xlfn.ISOWEEKNUM(A281)&gt;50),YEAR(A281)-1,YEAR(A281))))</f>
        <v>S44_2025</v>
      </c>
      <c r="C281" s="7" t="n">
        <f aca="false">E281+G281+I281+K281+M281+O281+Q281+S281+U281+W281+Y281+AA281+AC281+AE281+AG281+AI281+AK281</f>
        <v>111</v>
      </c>
      <c r="D281" s="7" t="n">
        <v>0</v>
      </c>
      <c r="E281" s="7" t="n">
        <v>0</v>
      </c>
      <c r="F281" s="1" t="n">
        <v>4</v>
      </c>
      <c r="H281" s="1" t="n">
        <v>2</v>
      </c>
      <c r="J281" s="1" t="n">
        <v>2</v>
      </c>
      <c r="S281" s="1" t="n">
        <v>111</v>
      </c>
      <c r="T281" s="1" t="n">
        <v>27</v>
      </c>
    </row>
    <row r="282" customFormat="false" ht="15" hidden="false" customHeight="false" outlineLevel="0" collapsed="false">
      <c r="A282" s="6" t="n">
        <v>45964</v>
      </c>
      <c r="B282" s="6" t="str">
        <f aca="false">CONCATENATE("S",_xlfn.ISOWEEKNUM(A282),"_",IF(AND(MONTH(A282)=12,_xlfn.ISOWEEKNUM(A282)=1),YEAR(A282)+1,IF(AND(MONTH(A282)=1,_xlfn.ISOWEEKNUM(A282)&gt;50),YEAR(A282)-1,YEAR(A282))))</f>
        <v>S45_2025</v>
      </c>
      <c r="C282" s="7" t="n">
        <f aca="false">E282+G282+I282+K282+M282+O282+Q282+S282+U282+W282+Y282+AA282+AC282+AE282+AG282+AI282+AK282</f>
        <v>94</v>
      </c>
      <c r="D282" s="1" t="n">
        <v>1</v>
      </c>
      <c r="E282" s="7" t="n">
        <v>0</v>
      </c>
      <c r="F282" s="7" t="n">
        <v>0</v>
      </c>
      <c r="S282" s="1" t="n">
        <v>94</v>
      </c>
      <c r="T282" s="1" t="n">
        <v>12</v>
      </c>
    </row>
    <row r="283" customFormat="false" ht="15" hidden="false" customHeight="false" outlineLevel="0" collapsed="false">
      <c r="A283" s="6" t="n">
        <v>45965</v>
      </c>
      <c r="B283" s="6" t="str">
        <f aca="false">CONCATENATE("S",_xlfn.ISOWEEKNUM(A283),"_",IF(AND(MONTH(A283)=12,_xlfn.ISOWEEKNUM(A283)=1),YEAR(A283)+1,IF(AND(MONTH(A283)=1,_xlfn.ISOWEEKNUM(A283)&gt;50),YEAR(A283)-1,YEAR(A283))))</f>
        <v>S45_2025</v>
      </c>
      <c r="C283" s="7" t="n">
        <f aca="false">E283+G283+I283+K283+M283+O283+Q283+S283+U283+W283+Y283+AA283+AC283+AE283+AG283+AI283+AK283</f>
        <v>134</v>
      </c>
      <c r="D283" s="7" t="n">
        <v>0</v>
      </c>
      <c r="E283" s="7" t="n">
        <v>0</v>
      </c>
      <c r="F283" s="1" t="n">
        <v>2</v>
      </c>
      <c r="H283" s="1" t="n">
        <v>3</v>
      </c>
      <c r="I283" s="1" t="n">
        <v>2</v>
      </c>
      <c r="S283" s="1" t="n">
        <v>132</v>
      </c>
      <c r="T283" s="1" t="n">
        <v>15</v>
      </c>
    </row>
    <row r="284" customFormat="false" ht="15" hidden="false" customHeight="false" outlineLevel="0" collapsed="false">
      <c r="A284" s="6" t="n">
        <v>45966</v>
      </c>
      <c r="B284" s="6" t="str">
        <f aca="false">CONCATENATE("S",_xlfn.ISOWEEKNUM(A284),"_",IF(AND(MONTH(A284)=12,_xlfn.ISOWEEKNUM(A284)=1),YEAR(A284)+1,IF(AND(MONTH(A284)=1,_xlfn.ISOWEEKNUM(A284)&gt;50),YEAR(A284)-1,YEAR(A284))))</f>
        <v>S45_2025</v>
      </c>
      <c r="C284" s="7" t="n">
        <f aca="false">E284+G284+I284+K284+M284+O284+Q284+S284+U284+W284+Y284+AA284+AC284+AE284+AG284+AI284+AK284</f>
        <v>109</v>
      </c>
      <c r="D284" s="1" t="n">
        <v>4</v>
      </c>
      <c r="E284" s="7" t="n">
        <v>0</v>
      </c>
      <c r="F284" s="7" t="n">
        <v>0</v>
      </c>
      <c r="S284" s="1" t="n">
        <v>109</v>
      </c>
      <c r="T284" s="1" t="n">
        <v>11</v>
      </c>
    </row>
    <row r="285" customFormat="false" ht="15" hidden="false" customHeight="true" outlineLevel="0" collapsed="false">
      <c r="A285" s="6" t="n">
        <v>45967</v>
      </c>
      <c r="B285" s="6" t="str">
        <f aca="false">CONCATENATE("S",_xlfn.ISOWEEKNUM(A285),"_",IF(AND(MONTH(A285)=12,_xlfn.ISOWEEKNUM(A285)=1),YEAR(A285)+1,IF(AND(MONTH(A285)=1,_xlfn.ISOWEEKNUM(A285)&gt;50),YEAR(A285)-1,YEAR(A285))))</f>
        <v>S45_2025</v>
      </c>
      <c r="C285" s="7" t="n">
        <f aca="false">E285+G285+I285+K285+M285+O285+Q285+S285+U285+W285+Y285+AA285+AC285+AE285+AG285+AI285+AK285</f>
        <v>203</v>
      </c>
      <c r="D285" s="7" t="n">
        <v>0</v>
      </c>
      <c r="E285" s="7" t="n">
        <v>0</v>
      </c>
      <c r="F285" s="7" t="n">
        <v>0</v>
      </c>
      <c r="J285" s="1" t="n">
        <v>4</v>
      </c>
      <c r="S285" s="1" t="n">
        <v>203</v>
      </c>
      <c r="T285" s="1" t="n">
        <v>26</v>
      </c>
    </row>
    <row r="286" customFormat="false" ht="15" hidden="false" customHeight="true" outlineLevel="0" collapsed="false">
      <c r="A286" s="6" t="n">
        <v>45968</v>
      </c>
      <c r="B286" s="6" t="str">
        <f aca="false">CONCATENATE("S",_xlfn.ISOWEEKNUM(A286),"_",IF(AND(MONTH(A286)=12,_xlfn.ISOWEEKNUM(A286)=1),YEAR(A286)+1,IF(AND(MONTH(A286)=1,_xlfn.ISOWEEKNUM(A286)&gt;50),YEAR(A286)-1,YEAR(A286))))</f>
        <v>S45_2025</v>
      </c>
      <c r="C286" s="7" t="n">
        <f aca="false">E286+G286+I286+K286+M286+O286+Q286+S286+U286+W286+Y286+AA286+AC286+AE286+AG286+AI286+AK286</f>
        <v>200</v>
      </c>
      <c r="D286" s="7" t="n">
        <v>0</v>
      </c>
      <c r="E286" s="7" t="n">
        <v>0</v>
      </c>
      <c r="F286" s="7" t="n">
        <v>4</v>
      </c>
      <c r="I286" s="7" t="n">
        <v>1</v>
      </c>
      <c r="N286" s="1" t="n">
        <v>1</v>
      </c>
      <c r="S286" s="1" t="n">
        <v>199</v>
      </c>
      <c r="T286" s="1" t="n">
        <v>32</v>
      </c>
    </row>
    <row r="287" customFormat="false" ht="15" hidden="false" customHeight="true" outlineLevel="0" collapsed="false">
      <c r="A287" s="6" t="n">
        <v>45969</v>
      </c>
      <c r="B287" s="6" t="str">
        <f aca="false">CONCATENATE("S",_xlfn.ISOWEEKNUM(A287),"_",IF(AND(MONTH(A287)=12,_xlfn.ISOWEEKNUM(A287)=1),YEAR(A287)+1,IF(AND(MONTH(A287)=1,_xlfn.ISOWEEKNUM(A287)&gt;50),YEAR(A287)-1,YEAR(A287))))</f>
        <v>S45_2025</v>
      </c>
      <c r="C287" s="7" t="n">
        <f aca="false">E287+G287+I287+K287+M287+O287+Q287+S287+U287+W287+Y287+AA287+AC287+AE287+AG287+AI287+AK287</f>
        <v>193</v>
      </c>
      <c r="D287" s="7" t="n">
        <v>0</v>
      </c>
      <c r="E287" s="7" t="n">
        <v>3</v>
      </c>
      <c r="F287" s="7" t="n">
        <v>0</v>
      </c>
      <c r="H287" s="7" t="n">
        <v>2</v>
      </c>
      <c r="J287" s="7" t="n">
        <v>2</v>
      </c>
      <c r="S287" s="1" t="n">
        <v>190</v>
      </c>
      <c r="T287" s="1" t="n">
        <v>21</v>
      </c>
    </row>
    <row r="288" customFormat="false" ht="15" hidden="false" customHeight="true" outlineLevel="0" collapsed="false">
      <c r="A288" s="6" t="n">
        <v>45970</v>
      </c>
      <c r="B288" s="6" t="str">
        <f aca="false">CONCATENATE("S",_xlfn.ISOWEEKNUM(A288),"_",IF(AND(MONTH(A288)=12,_xlfn.ISOWEEKNUM(A288)=1),YEAR(A288)+1,IF(AND(MONTH(A288)=1,_xlfn.ISOWEEKNUM(A288)&gt;50),YEAR(A288)-1,YEAR(A288))))</f>
        <v>S45_2025</v>
      </c>
      <c r="C288" s="7" t="n">
        <f aca="false">E288+G288+I288+K288+M288+O288+Q288+S288+U288+W288+Y288+AA288+AC288+AE288+AG288+AI288+AK288</f>
        <v>159</v>
      </c>
      <c r="D288" s="7" t="n">
        <v>0</v>
      </c>
      <c r="E288" s="7" t="n">
        <v>0</v>
      </c>
      <c r="F288" s="7" t="n">
        <v>0</v>
      </c>
      <c r="L288" s="1" t="n">
        <v>2</v>
      </c>
      <c r="S288" s="1" t="n">
        <v>159</v>
      </c>
      <c r="T288" s="1" t="n">
        <v>33</v>
      </c>
    </row>
    <row r="289" customFormat="false" ht="15" hidden="false" customHeight="true" outlineLevel="0" collapsed="false">
      <c r="A289" s="6"/>
      <c r="B289" s="6"/>
      <c r="C289" s="7"/>
      <c r="D289" s="7"/>
      <c r="E289" s="7"/>
      <c r="F289" s="7"/>
      <c r="H289" s="7"/>
    </row>
    <row r="290" customFormat="false" ht="15" hidden="false" customHeight="true" outlineLevel="0" collapsed="false">
      <c r="A290" s="6"/>
      <c r="B290" s="6"/>
      <c r="C290" s="7"/>
      <c r="D290" s="7"/>
      <c r="E290" s="7"/>
      <c r="F290" s="7"/>
    </row>
    <row r="291" customFormat="false" ht="15" hidden="false" customHeight="true" outlineLevel="0" collapsed="false">
      <c r="A291" s="6"/>
      <c r="B291" s="6"/>
      <c r="C291" s="7"/>
      <c r="F29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2025-11-11T10:28:50Z</dcterms:created>
  <dc:creator>PC</dc:creator>
  <dc:description/>
  <dc:language>fr-FR</dc:language>
  <cp:lastModifiedBy/>
  <dcterms:modified xsi:type="dcterms:W3CDTF">2025-11-12T13:16:56Z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