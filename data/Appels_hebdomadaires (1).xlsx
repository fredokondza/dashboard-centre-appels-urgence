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4e53f5b0536c5c5/Bureau/"/>
    </mc:Choice>
  </mc:AlternateContent>
  <xr:revisionPtr revIDLastSave="0" documentId="8_{38732A2E-AED8-460A-886F-75E6573C19AE}" xr6:coauthVersionLast="47" xr6:coauthVersionMax="47" xr10:uidLastSave="{00000000-0000-0000-0000-000000000000}"/>
  <bookViews>
    <workbookView xWindow="-90" yWindow="-90" windowWidth="19380" windowHeight="10260" tabRatio="500" xr2:uid="{00000000-000D-0000-FFFF-FFFF00000000}"/>
  </bookViews>
  <sheets>
    <sheet name="BASE_DONNEES_APPELS_N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5" i="1" l="1"/>
  <c r="C306" i="1"/>
  <c r="C307" i="1"/>
  <c r="C308" i="1"/>
  <c r="C309" i="1"/>
  <c r="C302" i="1"/>
  <c r="C303" i="1"/>
  <c r="C304" i="1"/>
  <c r="B308" i="1"/>
  <c r="B309" i="1"/>
  <c r="B303" i="1"/>
  <c r="B304" i="1"/>
  <c r="B305" i="1"/>
  <c r="B306" i="1"/>
  <c r="B307" i="1"/>
  <c r="C299" i="1"/>
  <c r="C300" i="1"/>
  <c r="C301" i="1"/>
  <c r="B301" i="1"/>
  <c r="B302" i="1"/>
  <c r="B300" i="1"/>
  <c r="B299" i="1"/>
  <c r="C298" i="1" l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84" i="1" l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<sst xmlns="http://schemas.openxmlformats.org/spreadsheetml/2006/main" count="20" uniqueCount="20">
  <si>
    <t>DATE</t>
  </si>
  <si>
    <t>Semaine épidémiologique</t>
  </si>
  <si>
    <t>TOTAL_APPELS_JOUR</t>
  </si>
  <si>
    <t>CSU_JOUR</t>
  </si>
  <si>
    <t>PHARMACIE_JOUR</t>
  </si>
  <si>
    <t>STRUCTURE_REFERENCE_JOUR</t>
  </si>
  <si>
    <t>PROGRAMME_SANTE_JOUR</t>
  </si>
  <si>
    <t>RUMEURS_JOUR</t>
  </si>
  <si>
    <t>PROBLEMATIQUE_SANTE_JOUR</t>
  </si>
  <si>
    <t>URGENCE_MEDICALE_JOUR</t>
  </si>
  <si>
    <t>GESTION_MALADIE_JOUR</t>
  </si>
  <si>
    <t>AUTRES_JOUR</t>
  </si>
  <si>
    <t>SOCIAL_JOUR</t>
  </si>
  <si>
    <t>SECURITAIRE_JOUR</t>
  </si>
  <si>
    <t>PSYCHO_JOUR</t>
  </si>
  <si>
    <t>SIGNAUX_SFE_JOUR</t>
  </si>
  <si>
    <t>AUTRES_SANTE_PUBLIQUE_JOUR</t>
  </si>
  <si>
    <t>CAS_SUSPECTS_JOUR</t>
  </si>
  <si>
    <t>FARCES_JOUR</t>
  </si>
  <si>
    <t>HARCELEMENTS_JOUR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</si>
</sst>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vertical="top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0"/>
  <sheetViews>
    <sheetView tabSelected="1" topLeftCell="A294" zoomScaleNormal="100" workbookViewId="0">
      <selection activeCell="C304" sqref="C304:C309"/>
    </sheetView>
  </sheetViews>
  <sheetFormatPr baseColWidth="10" defaultColWidth="8.453125" defaultRowHeight="15" customHeight="1" x14ac:dyDescent="0.75"/>
  <cols>
    <col min="1" max="1" width="10.6328125" style="7" customWidth="1"/>
    <col min="2" max="2" width="22.54296875" style="7" customWidth="1"/>
    <col min="3" max="3" width="19.1796875" style="7" customWidth="1"/>
    <col min="4" max="4" width="11.08984375" style="12" customWidth="1"/>
    <col min="5" max="5" width="17.1796875" customWidth="1"/>
    <col min="6" max="6" width="27.453125" style="12" customWidth="1"/>
    <col min="7" max="7" width="24.7265625" customWidth="1"/>
    <col min="8" max="8" width="15" customWidth="1"/>
    <col min="9" max="9" width="27.7265625" customWidth="1"/>
    <col min="10" max="10" width="23.90625" customWidth="1"/>
    <col min="11" max="11" width="22.54296875" customWidth="1"/>
    <col min="12" max="12" width="13.36328125" customWidth="1"/>
    <col min="13" max="13" width="12.453125" customWidth="1"/>
    <col min="14" max="14" width="17.08984375" customWidth="1"/>
    <col min="15" max="15" width="13.36328125" customWidth="1"/>
    <col min="16" max="16" width="18" customWidth="1"/>
    <col min="17" max="17" width="28.453125" customWidth="1"/>
    <col min="18" max="18" width="19.08984375" customWidth="1"/>
    <col min="19" max="19" width="12.90625" customWidth="1"/>
    <col min="20" max="20" width="20.08984375" customWidth="1"/>
  </cols>
  <sheetData>
    <row r="1" spans="1:20" ht="14.75" x14ac:dyDescent="0.75">
      <c r="A1" s="8" t="s">
        <v>0</v>
      </c>
      <c r="B1" s="8" t="s">
        <v>1</v>
      </c>
      <c r="C1" s="8" t="s">
        <v>2</v>
      </c>
      <c r="D1" s="11" t="s">
        <v>3</v>
      </c>
      <c r="E1" s="1" t="s">
        <v>4</v>
      </c>
      <c r="F1" s="1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4.75" x14ac:dyDescent="0.75">
      <c r="A2" s="9">
        <v>45684</v>
      </c>
      <c r="B2" s="6" t="str">
        <f t="shared" ref="B2:B65" si="0">CONCATENATE("S",_xlfn.ISOWEEKNUM(A2),"_",IF(AND(MONTH(A2)=12,_xlfn.ISOWEEKNUM(A2)=1),YEAR(A2)+1,IF(AND(MONTH(A2)=1,_xlfn.ISOWEEKNUM(A2)&gt;50),YEAR(A2)-1,YEAR(A2))))</f>
        <v>S5_2025</v>
      </c>
      <c r="C2" s="15">
        <f t="shared" ref="C2:C18" si="1">E2+G2+I2+K2+M2+O2+O2+Q2+S2+U2+W2+Y2+AA2+AC2+AE2+AG2+AI2+AK2</f>
        <v>107</v>
      </c>
      <c r="D2" s="12">
        <v>0</v>
      </c>
      <c r="E2">
        <v>5</v>
      </c>
      <c r="F2" s="1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101</v>
      </c>
      <c r="T2">
        <v>0</v>
      </c>
    </row>
    <row r="3" spans="1:20" ht="14.75" x14ac:dyDescent="0.75">
      <c r="A3" s="6">
        <v>45685</v>
      </c>
      <c r="B3" s="6" t="str">
        <f t="shared" si="0"/>
        <v>S5_2025</v>
      </c>
      <c r="C3" s="15">
        <f t="shared" si="1"/>
        <v>0</v>
      </c>
      <c r="D3" s="12">
        <v>0</v>
      </c>
      <c r="E3">
        <v>0</v>
      </c>
      <c r="F3" s="12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4.75" x14ac:dyDescent="0.75">
      <c r="A4" s="6">
        <v>45686</v>
      </c>
      <c r="B4" s="6" t="str">
        <f t="shared" si="0"/>
        <v>S5_2025</v>
      </c>
      <c r="C4" s="15">
        <f t="shared" si="1"/>
        <v>125</v>
      </c>
      <c r="D4" s="12">
        <v>2</v>
      </c>
      <c r="E4">
        <v>0</v>
      </c>
      <c r="F4" s="12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121</v>
      </c>
      <c r="T4">
        <v>0</v>
      </c>
    </row>
    <row r="5" spans="1:20" ht="14.75" x14ac:dyDescent="0.75">
      <c r="A5" s="6">
        <v>45687</v>
      </c>
      <c r="B5" s="6" t="str">
        <f t="shared" si="0"/>
        <v>S5_2025</v>
      </c>
      <c r="C5" s="15">
        <f t="shared" si="1"/>
        <v>110</v>
      </c>
      <c r="D5" s="12">
        <v>0</v>
      </c>
      <c r="E5">
        <v>0</v>
      </c>
      <c r="F5" s="12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4</v>
      </c>
      <c r="N5">
        <v>0</v>
      </c>
      <c r="O5">
        <v>1</v>
      </c>
      <c r="P5">
        <v>0</v>
      </c>
      <c r="Q5">
        <v>0</v>
      </c>
      <c r="R5">
        <v>0</v>
      </c>
      <c r="S5">
        <v>102</v>
      </c>
      <c r="T5">
        <v>0</v>
      </c>
    </row>
    <row r="6" spans="1:20" ht="14.75" x14ac:dyDescent="0.75">
      <c r="A6" s="6">
        <v>45688</v>
      </c>
      <c r="B6" s="6" t="str">
        <f t="shared" si="0"/>
        <v>S5_2025</v>
      </c>
      <c r="C6" s="15">
        <f t="shared" si="1"/>
        <v>7</v>
      </c>
      <c r="D6" s="12">
        <v>0</v>
      </c>
      <c r="E6">
        <v>0</v>
      </c>
      <c r="F6" s="12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</v>
      </c>
      <c r="T6">
        <v>0</v>
      </c>
    </row>
    <row r="7" spans="1:20" ht="14.75" x14ac:dyDescent="0.75">
      <c r="A7" s="6">
        <v>45689</v>
      </c>
      <c r="B7" s="6" t="str">
        <f t="shared" si="0"/>
        <v>S5_2025</v>
      </c>
      <c r="C7" s="15">
        <f t="shared" si="1"/>
        <v>140</v>
      </c>
      <c r="D7" s="12">
        <v>0</v>
      </c>
      <c r="E7">
        <v>0</v>
      </c>
      <c r="F7" s="12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139</v>
      </c>
      <c r="T7">
        <v>0</v>
      </c>
    </row>
    <row r="8" spans="1:20" ht="14.75" x14ac:dyDescent="0.75">
      <c r="A8" s="6">
        <v>45690</v>
      </c>
      <c r="B8" s="6" t="str">
        <f t="shared" si="0"/>
        <v>S5_2025</v>
      </c>
      <c r="C8" s="15">
        <f t="shared" si="1"/>
        <v>98</v>
      </c>
      <c r="D8" s="12">
        <v>0</v>
      </c>
      <c r="E8">
        <v>0</v>
      </c>
      <c r="F8" s="12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96</v>
      </c>
      <c r="T8">
        <v>19</v>
      </c>
    </row>
    <row r="9" spans="1:20" ht="14.75" x14ac:dyDescent="0.75">
      <c r="A9" s="6">
        <v>45691</v>
      </c>
      <c r="B9" s="6" t="str">
        <f t="shared" si="0"/>
        <v>S6_2025</v>
      </c>
      <c r="C9" s="15">
        <f t="shared" si="1"/>
        <v>61</v>
      </c>
      <c r="D9" s="12">
        <v>0</v>
      </c>
      <c r="E9">
        <v>0</v>
      </c>
      <c r="F9" s="12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61</v>
      </c>
      <c r="T9">
        <v>0</v>
      </c>
    </row>
    <row r="10" spans="1:20" ht="14.75" x14ac:dyDescent="0.75">
      <c r="A10" s="6">
        <v>45692</v>
      </c>
      <c r="B10" s="6" t="str">
        <f t="shared" si="0"/>
        <v>S6_2025</v>
      </c>
      <c r="C10" s="15">
        <f t="shared" si="1"/>
        <v>141</v>
      </c>
      <c r="D10" s="12">
        <v>0</v>
      </c>
      <c r="E10">
        <v>0</v>
      </c>
      <c r="F10" s="12">
        <v>0</v>
      </c>
      <c r="G10">
        <v>0</v>
      </c>
      <c r="H10">
        <v>1</v>
      </c>
      <c r="I10">
        <v>4</v>
      </c>
      <c r="J10">
        <v>0</v>
      </c>
      <c r="K10">
        <v>4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131</v>
      </c>
      <c r="T10">
        <v>0</v>
      </c>
    </row>
    <row r="11" spans="1:20" ht="14.75" x14ac:dyDescent="0.75">
      <c r="A11" s="6">
        <v>45693</v>
      </c>
      <c r="B11" s="6" t="str">
        <f t="shared" si="0"/>
        <v>S6_2025</v>
      </c>
      <c r="C11" s="15">
        <f t="shared" si="1"/>
        <v>113</v>
      </c>
      <c r="D11" s="12">
        <v>10</v>
      </c>
      <c r="E11">
        <v>0</v>
      </c>
      <c r="F11" s="12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11</v>
      </c>
      <c r="N11">
        <v>0</v>
      </c>
      <c r="O11">
        <v>0</v>
      </c>
      <c r="P11">
        <v>0</v>
      </c>
      <c r="Q11">
        <v>0</v>
      </c>
      <c r="R11">
        <v>0</v>
      </c>
      <c r="S11">
        <v>102</v>
      </c>
      <c r="T11">
        <v>0</v>
      </c>
    </row>
    <row r="12" spans="1:20" ht="14.75" x14ac:dyDescent="0.75">
      <c r="A12" s="6">
        <v>45694</v>
      </c>
      <c r="B12" s="6" t="str">
        <f t="shared" si="0"/>
        <v>S6_2025</v>
      </c>
      <c r="C12" s="15">
        <f t="shared" si="1"/>
        <v>133</v>
      </c>
      <c r="D12" s="12">
        <v>0</v>
      </c>
      <c r="E12">
        <v>8</v>
      </c>
      <c r="F12" s="12">
        <v>1</v>
      </c>
      <c r="G12">
        <v>0</v>
      </c>
      <c r="H12">
        <v>1</v>
      </c>
      <c r="I12">
        <v>6</v>
      </c>
      <c r="J12">
        <v>4</v>
      </c>
      <c r="K12">
        <v>0</v>
      </c>
      <c r="L12">
        <v>0</v>
      </c>
      <c r="M12">
        <v>10</v>
      </c>
      <c r="N12">
        <v>3</v>
      </c>
      <c r="O12">
        <v>1</v>
      </c>
      <c r="P12">
        <v>0</v>
      </c>
      <c r="Q12">
        <v>1</v>
      </c>
      <c r="R12">
        <v>2</v>
      </c>
      <c r="S12">
        <v>106</v>
      </c>
      <c r="T12">
        <v>15</v>
      </c>
    </row>
    <row r="13" spans="1:20" ht="14.75" x14ac:dyDescent="0.75">
      <c r="A13" s="6">
        <v>45695</v>
      </c>
      <c r="B13" s="6" t="str">
        <f t="shared" si="0"/>
        <v>S6_2025</v>
      </c>
      <c r="C13" s="15">
        <f t="shared" si="1"/>
        <v>88</v>
      </c>
      <c r="D13" s="12">
        <v>0</v>
      </c>
      <c r="E13">
        <v>0</v>
      </c>
      <c r="F13" s="12">
        <v>0</v>
      </c>
      <c r="G13">
        <v>0</v>
      </c>
      <c r="H13">
        <v>0</v>
      </c>
      <c r="I13">
        <v>7</v>
      </c>
      <c r="J13">
        <v>4</v>
      </c>
      <c r="K13">
        <v>0</v>
      </c>
      <c r="L13">
        <v>0</v>
      </c>
      <c r="M13">
        <v>2</v>
      </c>
      <c r="N13">
        <v>0</v>
      </c>
      <c r="O13">
        <v>2</v>
      </c>
      <c r="P13">
        <v>0</v>
      </c>
      <c r="Q13">
        <v>3</v>
      </c>
      <c r="R13">
        <v>0</v>
      </c>
      <c r="S13">
        <v>72</v>
      </c>
      <c r="T13">
        <v>0</v>
      </c>
    </row>
    <row r="14" spans="1:20" ht="14.75" x14ac:dyDescent="0.75">
      <c r="A14" s="6">
        <v>45696</v>
      </c>
      <c r="B14" s="6" t="str">
        <f t="shared" si="0"/>
        <v>S6_2025</v>
      </c>
      <c r="C14" s="15">
        <f t="shared" si="1"/>
        <v>78</v>
      </c>
      <c r="D14" s="12">
        <v>0</v>
      </c>
      <c r="E14">
        <v>0</v>
      </c>
      <c r="F14" s="12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</v>
      </c>
      <c r="N14">
        <v>0</v>
      </c>
      <c r="O14">
        <v>1</v>
      </c>
      <c r="P14">
        <v>0</v>
      </c>
      <c r="Q14">
        <v>0</v>
      </c>
      <c r="R14">
        <v>0</v>
      </c>
      <c r="S14">
        <v>66</v>
      </c>
      <c r="T14">
        <v>5</v>
      </c>
    </row>
    <row r="15" spans="1:20" ht="14.75" x14ac:dyDescent="0.75">
      <c r="A15" s="6">
        <v>45697</v>
      </c>
      <c r="B15" s="6" t="str">
        <f t="shared" si="0"/>
        <v>S6_2025</v>
      </c>
      <c r="C15" s="15">
        <f t="shared" si="1"/>
        <v>86</v>
      </c>
      <c r="D15" s="12">
        <v>0</v>
      </c>
      <c r="E15">
        <v>0</v>
      </c>
      <c r="F15" s="12">
        <v>0</v>
      </c>
      <c r="G15">
        <v>0</v>
      </c>
      <c r="H15">
        <v>3</v>
      </c>
      <c r="I15">
        <v>0</v>
      </c>
      <c r="J15">
        <v>0</v>
      </c>
      <c r="K15">
        <v>0</v>
      </c>
      <c r="L15">
        <v>0</v>
      </c>
      <c r="M15">
        <v>6</v>
      </c>
      <c r="N15">
        <v>0</v>
      </c>
      <c r="O15">
        <v>1</v>
      </c>
      <c r="P15">
        <v>0</v>
      </c>
      <c r="Q15">
        <v>0</v>
      </c>
      <c r="R15">
        <v>0</v>
      </c>
      <c r="S15">
        <v>78</v>
      </c>
      <c r="T15">
        <v>6</v>
      </c>
    </row>
    <row r="16" spans="1:20" ht="14.75" x14ac:dyDescent="0.75">
      <c r="A16" s="6">
        <v>45698</v>
      </c>
      <c r="B16" s="6" t="str">
        <f t="shared" si="0"/>
        <v>S7_2025</v>
      </c>
      <c r="C16" s="15">
        <f t="shared" si="1"/>
        <v>122</v>
      </c>
      <c r="D16" s="12">
        <v>0</v>
      </c>
      <c r="E16">
        <v>0</v>
      </c>
      <c r="F16" s="12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9</v>
      </c>
      <c r="N16">
        <v>1</v>
      </c>
      <c r="O16">
        <v>0</v>
      </c>
      <c r="P16">
        <v>0</v>
      </c>
      <c r="Q16">
        <v>0</v>
      </c>
      <c r="R16">
        <v>0</v>
      </c>
      <c r="S16">
        <v>112</v>
      </c>
      <c r="T16">
        <v>3</v>
      </c>
    </row>
    <row r="17" spans="1:20" ht="14.75" x14ac:dyDescent="0.75">
      <c r="A17" s="6">
        <v>45699</v>
      </c>
      <c r="B17" s="6" t="str">
        <f t="shared" si="0"/>
        <v>S7_2025</v>
      </c>
      <c r="C17" s="15">
        <f t="shared" si="1"/>
        <v>277</v>
      </c>
      <c r="D17" s="12">
        <v>0</v>
      </c>
      <c r="E17">
        <v>0</v>
      </c>
      <c r="F17" s="12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3</v>
      </c>
      <c r="P17">
        <v>0</v>
      </c>
      <c r="Q17">
        <v>0</v>
      </c>
      <c r="R17">
        <v>0</v>
      </c>
      <c r="S17">
        <v>270</v>
      </c>
      <c r="T17">
        <v>6</v>
      </c>
    </row>
    <row r="18" spans="1:20" ht="14.75" x14ac:dyDescent="0.75">
      <c r="A18" s="6">
        <v>45700</v>
      </c>
      <c r="B18" s="6" t="str">
        <f t="shared" si="0"/>
        <v>S7_2025</v>
      </c>
      <c r="C18" s="15">
        <f t="shared" si="1"/>
        <v>226</v>
      </c>
      <c r="D18" s="12">
        <v>0</v>
      </c>
      <c r="E18">
        <v>0</v>
      </c>
      <c r="F18" s="12">
        <v>2</v>
      </c>
      <c r="G18">
        <v>0</v>
      </c>
      <c r="H18">
        <v>5</v>
      </c>
      <c r="I18">
        <v>0</v>
      </c>
      <c r="J18">
        <v>0</v>
      </c>
      <c r="K18">
        <v>1</v>
      </c>
      <c r="L18">
        <v>0</v>
      </c>
      <c r="M18">
        <v>2</v>
      </c>
      <c r="N18">
        <v>2</v>
      </c>
      <c r="O18">
        <v>1</v>
      </c>
      <c r="P18">
        <v>0</v>
      </c>
      <c r="Q18">
        <v>0</v>
      </c>
      <c r="R18">
        <v>3</v>
      </c>
      <c r="S18">
        <v>221</v>
      </c>
      <c r="T18">
        <v>5</v>
      </c>
    </row>
    <row r="19" spans="1:20" ht="14.75" x14ac:dyDescent="0.75">
      <c r="A19" s="6">
        <v>45701</v>
      </c>
      <c r="B19" s="6" t="str">
        <f t="shared" si="0"/>
        <v>S7_2025</v>
      </c>
      <c r="C19" s="15">
        <f t="shared" ref="C19:C82" si="2">E19+G19+I19+K19+M19+O19+Q19+S19+U19+W19+Y19+AA19+AC19+AE19+AG19+AI19+AK19</f>
        <v>93</v>
      </c>
      <c r="D19" s="12">
        <v>0</v>
      </c>
      <c r="E19">
        <v>0</v>
      </c>
      <c r="F19" s="12">
        <v>0</v>
      </c>
      <c r="G19">
        <v>0</v>
      </c>
      <c r="H19">
        <v>0</v>
      </c>
      <c r="I19">
        <v>5</v>
      </c>
      <c r="J19">
        <v>0</v>
      </c>
      <c r="K19">
        <v>2</v>
      </c>
      <c r="L19">
        <v>2</v>
      </c>
      <c r="M19">
        <v>3</v>
      </c>
      <c r="N19">
        <v>3</v>
      </c>
      <c r="O19">
        <v>0</v>
      </c>
      <c r="P19">
        <v>0</v>
      </c>
      <c r="Q19">
        <v>0</v>
      </c>
      <c r="R19">
        <v>0</v>
      </c>
      <c r="S19">
        <v>83</v>
      </c>
      <c r="T19">
        <v>8</v>
      </c>
    </row>
    <row r="20" spans="1:20" ht="14.75" x14ac:dyDescent="0.75">
      <c r="A20" s="6">
        <v>45702</v>
      </c>
      <c r="B20" s="6" t="str">
        <f t="shared" si="0"/>
        <v>S7_2025</v>
      </c>
      <c r="C20" s="15">
        <f t="shared" si="2"/>
        <v>104</v>
      </c>
      <c r="D20" s="12">
        <v>0</v>
      </c>
      <c r="E20">
        <v>0</v>
      </c>
      <c r="F20" s="12">
        <v>0</v>
      </c>
      <c r="G20">
        <v>0</v>
      </c>
      <c r="H20">
        <v>9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0</v>
      </c>
      <c r="S20">
        <v>99</v>
      </c>
      <c r="T20">
        <v>6</v>
      </c>
    </row>
    <row r="21" spans="1:20" ht="14.75" x14ac:dyDescent="0.75">
      <c r="A21" s="6">
        <v>45703</v>
      </c>
      <c r="B21" s="6" t="str">
        <f t="shared" si="0"/>
        <v>S7_2025</v>
      </c>
      <c r="C21" s="15">
        <f t="shared" si="2"/>
        <v>238</v>
      </c>
      <c r="D21" s="12">
        <v>0</v>
      </c>
      <c r="E21">
        <v>0</v>
      </c>
      <c r="F21" s="12">
        <v>0</v>
      </c>
      <c r="G21">
        <v>0</v>
      </c>
      <c r="H21">
        <v>3</v>
      </c>
      <c r="I21">
        <v>2</v>
      </c>
      <c r="J21">
        <v>0</v>
      </c>
      <c r="K21">
        <v>7</v>
      </c>
      <c r="L21">
        <v>1</v>
      </c>
      <c r="M21">
        <v>3</v>
      </c>
      <c r="N21">
        <v>0</v>
      </c>
      <c r="O21">
        <v>2</v>
      </c>
      <c r="P21">
        <v>0</v>
      </c>
      <c r="Q21">
        <v>0</v>
      </c>
      <c r="R21">
        <v>0</v>
      </c>
      <c r="S21">
        <v>224</v>
      </c>
      <c r="T21">
        <v>9</v>
      </c>
    </row>
    <row r="22" spans="1:20" ht="14.75" x14ac:dyDescent="0.75">
      <c r="A22" s="6">
        <v>45704</v>
      </c>
      <c r="B22" s="6" t="str">
        <f t="shared" si="0"/>
        <v>S7_2025</v>
      </c>
      <c r="C22" s="15">
        <f t="shared" si="2"/>
        <v>136</v>
      </c>
      <c r="D22" s="12">
        <v>0</v>
      </c>
      <c r="E22">
        <v>0</v>
      </c>
      <c r="F22" s="12">
        <v>5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0</v>
      </c>
      <c r="P22">
        <v>0</v>
      </c>
      <c r="Q22">
        <v>0</v>
      </c>
      <c r="R22">
        <v>0</v>
      </c>
      <c r="S22">
        <v>131</v>
      </c>
      <c r="T22">
        <v>1</v>
      </c>
    </row>
    <row r="23" spans="1:20" ht="14.75" x14ac:dyDescent="0.75">
      <c r="A23" s="6">
        <v>45705</v>
      </c>
      <c r="B23" s="6" t="str">
        <f t="shared" si="0"/>
        <v>S8_2025</v>
      </c>
      <c r="C23" s="15">
        <f t="shared" si="2"/>
        <v>119</v>
      </c>
      <c r="D23" s="12">
        <v>0</v>
      </c>
      <c r="E23">
        <v>0</v>
      </c>
      <c r="F23" s="12">
        <v>3</v>
      </c>
      <c r="G23">
        <v>0</v>
      </c>
      <c r="H23">
        <v>3</v>
      </c>
      <c r="I23">
        <v>1</v>
      </c>
      <c r="J23">
        <v>0</v>
      </c>
      <c r="K23">
        <v>6</v>
      </c>
      <c r="L23">
        <v>3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109</v>
      </c>
      <c r="T23">
        <v>6</v>
      </c>
    </row>
    <row r="24" spans="1:20" ht="14.75" x14ac:dyDescent="0.75">
      <c r="A24" s="6">
        <v>45706</v>
      </c>
      <c r="B24" s="6" t="str">
        <f t="shared" si="0"/>
        <v>S8_2025</v>
      </c>
      <c r="C24" s="15">
        <f t="shared" si="2"/>
        <v>181</v>
      </c>
      <c r="D24" s="12">
        <v>0</v>
      </c>
      <c r="E24">
        <v>0</v>
      </c>
      <c r="F24" s="12">
        <v>2</v>
      </c>
      <c r="G24">
        <v>1</v>
      </c>
      <c r="H24">
        <v>1</v>
      </c>
      <c r="I24">
        <v>0</v>
      </c>
      <c r="J24">
        <v>0</v>
      </c>
      <c r="K24">
        <v>7</v>
      </c>
      <c r="L24">
        <v>1</v>
      </c>
      <c r="M24">
        <v>1</v>
      </c>
      <c r="N24">
        <v>3</v>
      </c>
      <c r="O24">
        <v>3</v>
      </c>
      <c r="P24">
        <v>0</v>
      </c>
      <c r="Q24">
        <v>0</v>
      </c>
      <c r="R24">
        <v>0</v>
      </c>
      <c r="S24">
        <v>169</v>
      </c>
      <c r="T24">
        <v>4</v>
      </c>
    </row>
    <row r="25" spans="1:20" ht="14.75" x14ac:dyDescent="0.75">
      <c r="A25" s="6">
        <v>45707</v>
      </c>
      <c r="B25" s="6" t="str">
        <f t="shared" si="0"/>
        <v>S8_2025</v>
      </c>
      <c r="C25" s="15">
        <f t="shared" si="2"/>
        <v>251</v>
      </c>
      <c r="D25" s="12">
        <v>0</v>
      </c>
      <c r="E25">
        <v>0</v>
      </c>
      <c r="F25" s="12">
        <v>9</v>
      </c>
      <c r="G25">
        <v>4</v>
      </c>
      <c r="H25">
        <v>0</v>
      </c>
      <c r="I25">
        <v>1</v>
      </c>
      <c r="J25">
        <v>0</v>
      </c>
      <c r="K25">
        <v>3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240</v>
      </c>
      <c r="T25">
        <v>2</v>
      </c>
    </row>
    <row r="26" spans="1:20" ht="14.75" x14ac:dyDescent="0.75">
      <c r="A26" s="6">
        <v>45708</v>
      </c>
      <c r="B26" s="6" t="str">
        <f t="shared" si="0"/>
        <v>S8_2025</v>
      </c>
      <c r="C26" s="15">
        <f t="shared" si="2"/>
        <v>204</v>
      </c>
      <c r="D26" s="12">
        <v>0</v>
      </c>
      <c r="E26">
        <v>0</v>
      </c>
      <c r="F26" s="12">
        <v>1</v>
      </c>
      <c r="G26">
        <v>0</v>
      </c>
      <c r="H26">
        <v>0</v>
      </c>
      <c r="I26">
        <v>0</v>
      </c>
      <c r="J26">
        <v>0</v>
      </c>
      <c r="K26">
        <v>2</v>
      </c>
      <c r="L26">
        <v>2</v>
      </c>
      <c r="M26">
        <v>1</v>
      </c>
      <c r="N26">
        <v>0</v>
      </c>
      <c r="O26">
        <v>4</v>
      </c>
      <c r="P26">
        <v>0</v>
      </c>
      <c r="Q26">
        <v>0</v>
      </c>
      <c r="R26">
        <v>0</v>
      </c>
      <c r="S26">
        <v>197</v>
      </c>
      <c r="T26">
        <v>24</v>
      </c>
    </row>
    <row r="27" spans="1:20" ht="14.75" x14ac:dyDescent="0.75">
      <c r="A27" s="6">
        <v>45709</v>
      </c>
      <c r="B27" s="6" t="str">
        <f t="shared" si="0"/>
        <v>S8_2025</v>
      </c>
      <c r="C27" s="15">
        <f t="shared" si="2"/>
        <v>159</v>
      </c>
      <c r="D27" s="12">
        <v>0</v>
      </c>
      <c r="E27">
        <v>0</v>
      </c>
      <c r="F27" s="12">
        <v>4</v>
      </c>
      <c r="G27">
        <v>0</v>
      </c>
      <c r="H27">
        <v>0</v>
      </c>
      <c r="I27">
        <v>1</v>
      </c>
      <c r="J27">
        <v>1</v>
      </c>
      <c r="K27">
        <v>4</v>
      </c>
      <c r="L27">
        <v>3</v>
      </c>
      <c r="M27">
        <v>2</v>
      </c>
      <c r="N27">
        <v>3</v>
      </c>
      <c r="O27">
        <v>0</v>
      </c>
      <c r="P27">
        <v>0</v>
      </c>
      <c r="Q27">
        <v>0</v>
      </c>
      <c r="R27">
        <v>0</v>
      </c>
      <c r="S27">
        <v>152</v>
      </c>
      <c r="T27">
        <v>9</v>
      </c>
    </row>
    <row r="28" spans="1:20" ht="14.75" x14ac:dyDescent="0.75">
      <c r="A28" s="6">
        <v>45710</v>
      </c>
      <c r="B28" s="6" t="str">
        <f t="shared" si="0"/>
        <v>S8_2025</v>
      </c>
      <c r="C28" s="15">
        <f t="shared" si="2"/>
        <v>90</v>
      </c>
      <c r="D28" s="12">
        <v>0</v>
      </c>
      <c r="E28">
        <v>0</v>
      </c>
      <c r="F28" s="12">
        <v>0</v>
      </c>
      <c r="G28">
        <v>0</v>
      </c>
      <c r="H28">
        <v>1</v>
      </c>
      <c r="I28">
        <v>0</v>
      </c>
      <c r="J28">
        <v>0</v>
      </c>
      <c r="K28">
        <v>2</v>
      </c>
      <c r="L28">
        <v>0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87</v>
      </c>
      <c r="T28">
        <v>12</v>
      </c>
    </row>
    <row r="29" spans="1:20" ht="14.75" x14ac:dyDescent="0.75">
      <c r="A29" s="6">
        <v>45711</v>
      </c>
      <c r="B29" s="6" t="str">
        <f t="shared" si="0"/>
        <v>S8_2025</v>
      </c>
      <c r="C29" s="15">
        <f t="shared" si="2"/>
        <v>158</v>
      </c>
      <c r="D29" s="12">
        <v>0</v>
      </c>
      <c r="E29">
        <v>0</v>
      </c>
      <c r="F29" s="12">
        <v>4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4</v>
      </c>
      <c r="N29">
        <v>0</v>
      </c>
      <c r="O29">
        <v>0</v>
      </c>
      <c r="P29">
        <v>1</v>
      </c>
      <c r="Q29">
        <v>0</v>
      </c>
      <c r="R29">
        <v>0</v>
      </c>
      <c r="S29">
        <v>151</v>
      </c>
      <c r="T29">
        <v>10</v>
      </c>
    </row>
    <row r="30" spans="1:20" ht="14.75" x14ac:dyDescent="0.75">
      <c r="A30" s="6">
        <v>45712</v>
      </c>
      <c r="B30" s="6" t="str">
        <f t="shared" si="0"/>
        <v>S9_2025</v>
      </c>
      <c r="C30" s="15">
        <f t="shared" si="2"/>
        <v>111</v>
      </c>
      <c r="D30" s="12">
        <v>0</v>
      </c>
      <c r="E30">
        <v>0</v>
      </c>
      <c r="F30" s="12">
        <v>3</v>
      </c>
      <c r="G30">
        <v>0</v>
      </c>
      <c r="H30">
        <v>0</v>
      </c>
      <c r="I30">
        <v>1</v>
      </c>
      <c r="J30">
        <v>0</v>
      </c>
      <c r="K30">
        <v>0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109</v>
      </c>
      <c r="T30">
        <v>7</v>
      </c>
    </row>
    <row r="31" spans="1:20" ht="14.75" x14ac:dyDescent="0.75">
      <c r="A31" s="6">
        <v>45713</v>
      </c>
      <c r="B31" s="6" t="str">
        <f t="shared" si="0"/>
        <v>S9_2025</v>
      </c>
      <c r="C31" s="15">
        <f t="shared" si="2"/>
        <v>260</v>
      </c>
      <c r="D31" s="12">
        <v>0</v>
      </c>
      <c r="E31">
        <v>0</v>
      </c>
      <c r="F31" s="12">
        <v>3</v>
      </c>
      <c r="G31">
        <v>0</v>
      </c>
      <c r="H31">
        <v>0</v>
      </c>
      <c r="I31">
        <v>2</v>
      </c>
      <c r="J31">
        <v>1</v>
      </c>
      <c r="K31">
        <v>6</v>
      </c>
      <c r="L31">
        <v>0</v>
      </c>
      <c r="M31">
        <v>1</v>
      </c>
      <c r="N31">
        <v>0</v>
      </c>
      <c r="O31">
        <v>5</v>
      </c>
      <c r="P31">
        <v>0</v>
      </c>
      <c r="Q31">
        <v>0</v>
      </c>
      <c r="R31">
        <v>0</v>
      </c>
      <c r="S31">
        <v>246</v>
      </c>
      <c r="T31">
        <v>27</v>
      </c>
    </row>
    <row r="32" spans="1:20" ht="14.75" x14ac:dyDescent="0.75">
      <c r="A32" s="6">
        <v>45714</v>
      </c>
      <c r="B32" s="6" t="str">
        <f t="shared" si="0"/>
        <v>S9_2025</v>
      </c>
      <c r="C32" s="15">
        <f t="shared" si="2"/>
        <v>173</v>
      </c>
      <c r="D32" s="12">
        <v>0</v>
      </c>
      <c r="E32">
        <v>0</v>
      </c>
      <c r="F32" s="12">
        <v>0</v>
      </c>
      <c r="G32">
        <v>2</v>
      </c>
      <c r="H32">
        <v>0</v>
      </c>
      <c r="I32">
        <v>0</v>
      </c>
      <c r="J32">
        <v>0</v>
      </c>
      <c r="K32">
        <v>3</v>
      </c>
      <c r="L32">
        <v>0</v>
      </c>
      <c r="M32">
        <v>3</v>
      </c>
      <c r="N32">
        <v>1</v>
      </c>
      <c r="O32">
        <v>0</v>
      </c>
      <c r="P32">
        <v>2</v>
      </c>
      <c r="Q32">
        <v>0</v>
      </c>
      <c r="R32">
        <v>0</v>
      </c>
      <c r="S32">
        <v>165</v>
      </c>
      <c r="T32">
        <v>83</v>
      </c>
    </row>
    <row r="33" spans="1:20" ht="14.75" x14ac:dyDescent="0.75">
      <c r="A33" s="6">
        <v>45715</v>
      </c>
      <c r="B33" s="6" t="str">
        <f t="shared" si="0"/>
        <v>S9_2025</v>
      </c>
      <c r="C33" s="15">
        <f t="shared" si="2"/>
        <v>77</v>
      </c>
      <c r="D33" s="12">
        <v>1</v>
      </c>
      <c r="E33">
        <v>0</v>
      </c>
      <c r="F33" s="12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75</v>
      </c>
      <c r="T33">
        <v>11</v>
      </c>
    </row>
    <row r="34" spans="1:20" ht="14.75" x14ac:dyDescent="0.75">
      <c r="A34" s="6">
        <v>45716</v>
      </c>
      <c r="B34" s="6" t="str">
        <f t="shared" si="0"/>
        <v>S9_2025</v>
      </c>
      <c r="C34" s="15">
        <f t="shared" si="2"/>
        <v>78</v>
      </c>
      <c r="D34" s="12">
        <v>0</v>
      </c>
      <c r="E34">
        <v>0</v>
      </c>
      <c r="F34" s="12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75</v>
      </c>
      <c r="T34">
        <v>11</v>
      </c>
    </row>
    <row r="35" spans="1:20" ht="14.75" x14ac:dyDescent="0.75">
      <c r="A35" s="6">
        <v>45717</v>
      </c>
      <c r="B35" s="6" t="str">
        <f t="shared" si="0"/>
        <v>S9_2025</v>
      </c>
      <c r="C35" s="15">
        <f t="shared" si="2"/>
        <v>356</v>
      </c>
      <c r="D35" s="12">
        <v>0</v>
      </c>
      <c r="E35">
        <v>0</v>
      </c>
      <c r="F35" s="12">
        <v>0</v>
      </c>
      <c r="G35">
        <v>0</v>
      </c>
      <c r="H35">
        <v>0</v>
      </c>
      <c r="I35">
        <v>6</v>
      </c>
      <c r="J35">
        <v>0</v>
      </c>
      <c r="K35">
        <v>0</v>
      </c>
      <c r="L35">
        <v>1</v>
      </c>
      <c r="M35">
        <v>20</v>
      </c>
      <c r="N35">
        <v>0</v>
      </c>
      <c r="O35">
        <v>6</v>
      </c>
      <c r="P35">
        <v>1</v>
      </c>
      <c r="Q35">
        <v>0</v>
      </c>
      <c r="R35">
        <v>0</v>
      </c>
      <c r="S35">
        <v>324</v>
      </c>
      <c r="T35">
        <v>27</v>
      </c>
    </row>
    <row r="36" spans="1:20" ht="14.75" x14ac:dyDescent="0.75">
      <c r="A36" s="6">
        <v>45718</v>
      </c>
      <c r="B36" s="6" t="str">
        <f t="shared" si="0"/>
        <v>S9_2025</v>
      </c>
      <c r="C36" s="15">
        <f t="shared" si="2"/>
        <v>40</v>
      </c>
      <c r="D36" s="12">
        <v>0</v>
      </c>
      <c r="E36">
        <v>0</v>
      </c>
      <c r="F36" s="12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35</v>
      </c>
      <c r="T36">
        <v>17</v>
      </c>
    </row>
    <row r="37" spans="1:20" ht="14.75" x14ac:dyDescent="0.75">
      <c r="A37" s="10">
        <v>45719</v>
      </c>
      <c r="B37" s="6" t="str">
        <f t="shared" si="0"/>
        <v>S10_2025</v>
      </c>
      <c r="C37" s="16">
        <f t="shared" si="2"/>
        <v>60</v>
      </c>
      <c r="D37" s="14">
        <v>0</v>
      </c>
      <c r="E37" s="3">
        <v>0</v>
      </c>
      <c r="F37" s="14">
        <v>0</v>
      </c>
      <c r="G37" s="3">
        <v>0</v>
      </c>
      <c r="H37" s="3">
        <v>0</v>
      </c>
      <c r="I37" s="3">
        <v>3</v>
      </c>
      <c r="J37" s="3">
        <v>0</v>
      </c>
      <c r="K37" s="3">
        <v>0</v>
      </c>
      <c r="L37" s="3">
        <v>7</v>
      </c>
      <c r="M37" s="3">
        <v>2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55</v>
      </c>
      <c r="T37" s="3">
        <v>30</v>
      </c>
    </row>
    <row r="38" spans="1:20" ht="14.75" x14ac:dyDescent="0.75">
      <c r="A38" s="10">
        <v>45720</v>
      </c>
      <c r="B38" s="6" t="str">
        <f t="shared" si="0"/>
        <v>S10_2025</v>
      </c>
      <c r="C38" s="16">
        <f t="shared" si="2"/>
        <v>294</v>
      </c>
      <c r="D38" s="14">
        <v>0</v>
      </c>
      <c r="E38" s="3">
        <v>0</v>
      </c>
      <c r="F38" s="14">
        <v>0</v>
      </c>
      <c r="G38" s="3">
        <v>0</v>
      </c>
      <c r="H38" s="3">
        <v>0</v>
      </c>
      <c r="I38" s="3">
        <v>2</v>
      </c>
      <c r="J38" s="3">
        <v>0</v>
      </c>
      <c r="K38" s="3">
        <v>6</v>
      </c>
      <c r="L38" s="3">
        <v>6</v>
      </c>
      <c r="M38" s="3">
        <v>2</v>
      </c>
      <c r="N38" s="3">
        <v>0</v>
      </c>
      <c r="O38" s="3">
        <v>8</v>
      </c>
      <c r="P38" s="3">
        <v>0</v>
      </c>
      <c r="Q38" s="3">
        <v>0</v>
      </c>
      <c r="R38" s="3">
        <v>0</v>
      </c>
      <c r="S38" s="3">
        <v>276</v>
      </c>
      <c r="T38" s="3">
        <v>27</v>
      </c>
    </row>
    <row r="39" spans="1:20" ht="14.75" x14ac:dyDescent="0.75">
      <c r="A39" s="10">
        <v>45721</v>
      </c>
      <c r="B39" s="6" t="str">
        <f t="shared" si="0"/>
        <v>S10_2025</v>
      </c>
      <c r="C39" s="16">
        <f t="shared" si="2"/>
        <v>171</v>
      </c>
      <c r="D39" s="14">
        <v>0</v>
      </c>
      <c r="E39" s="3">
        <v>0</v>
      </c>
      <c r="F39" s="14">
        <v>0</v>
      </c>
      <c r="G39" s="3">
        <v>0</v>
      </c>
      <c r="H39" s="3">
        <v>0</v>
      </c>
      <c r="I39" s="3">
        <v>3</v>
      </c>
      <c r="J39" s="3">
        <v>0</v>
      </c>
      <c r="K39" s="3">
        <v>0</v>
      </c>
      <c r="L39" s="3">
        <v>7</v>
      </c>
      <c r="M39" s="3">
        <v>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164</v>
      </c>
      <c r="T39" s="3">
        <v>26</v>
      </c>
    </row>
    <row r="40" spans="1:20" ht="14.75" x14ac:dyDescent="0.75">
      <c r="A40" s="10">
        <v>45722</v>
      </c>
      <c r="B40" s="6" t="str">
        <f t="shared" si="0"/>
        <v>S10_2025</v>
      </c>
      <c r="C40" s="16">
        <f t="shared" si="2"/>
        <v>116</v>
      </c>
      <c r="D40" s="14">
        <v>0</v>
      </c>
      <c r="E40" s="3">
        <v>0</v>
      </c>
      <c r="F40" s="14">
        <v>3</v>
      </c>
      <c r="G40" s="3">
        <v>0</v>
      </c>
      <c r="H40" s="3">
        <v>1</v>
      </c>
      <c r="I40" s="3">
        <v>1</v>
      </c>
      <c r="J40" s="3">
        <v>8</v>
      </c>
      <c r="K40" s="3">
        <v>7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107</v>
      </c>
      <c r="T40" s="3">
        <v>20</v>
      </c>
    </row>
    <row r="41" spans="1:20" ht="14.75" x14ac:dyDescent="0.75">
      <c r="A41" s="10">
        <v>45723</v>
      </c>
      <c r="B41" s="6" t="str">
        <f t="shared" si="0"/>
        <v>S10_2025</v>
      </c>
      <c r="C41" s="16">
        <f t="shared" si="2"/>
        <v>74</v>
      </c>
      <c r="D41" s="14">
        <v>0</v>
      </c>
      <c r="E41" s="3">
        <v>0</v>
      </c>
      <c r="F41" s="14">
        <v>0</v>
      </c>
      <c r="G41" s="3">
        <v>0</v>
      </c>
      <c r="H41" s="3">
        <v>0</v>
      </c>
      <c r="I41" s="3">
        <v>0</v>
      </c>
      <c r="J41" s="3">
        <v>0</v>
      </c>
      <c r="K41" s="3">
        <v>4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70</v>
      </c>
      <c r="T41" s="3">
        <v>17</v>
      </c>
    </row>
    <row r="42" spans="1:20" ht="14.75" x14ac:dyDescent="0.75">
      <c r="A42" s="10">
        <v>45724</v>
      </c>
      <c r="B42" s="6" t="str">
        <f t="shared" si="0"/>
        <v>S10_2025</v>
      </c>
      <c r="C42" s="16">
        <f t="shared" si="2"/>
        <v>85</v>
      </c>
      <c r="D42" s="14">
        <v>3</v>
      </c>
      <c r="E42" s="3">
        <v>0</v>
      </c>
      <c r="F42" s="14">
        <v>0</v>
      </c>
      <c r="G42" s="3">
        <v>0</v>
      </c>
      <c r="H42" s="3">
        <v>0</v>
      </c>
      <c r="I42" s="3">
        <v>1</v>
      </c>
      <c r="J42" s="3">
        <v>2</v>
      </c>
      <c r="K42" s="3">
        <v>0</v>
      </c>
      <c r="L42" s="3">
        <v>0</v>
      </c>
      <c r="M42" s="3">
        <v>2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82</v>
      </c>
      <c r="T42" s="3">
        <v>67</v>
      </c>
    </row>
    <row r="43" spans="1:20" ht="14.75" x14ac:dyDescent="0.75">
      <c r="A43" s="10">
        <v>45725</v>
      </c>
      <c r="B43" s="6" t="str">
        <f t="shared" si="0"/>
        <v>S10_2025</v>
      </c>
      <c r="C43" s="16">
        <f t="shared" si="2"/>
        <v>128</v>
      </c>
      <c r="D43" s="14">
        <v>0</v>
      </c>
      <c r="E43" s="3">
        <v>0</v>
      </c>
      <c r="F43" s="14">
        <v>0</v>
      </c>
      <c r="G43" s="3">
        <v>0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2</v>
      </c>
      <c r="R43" s="3">
        <v>0</v>
      </c>
      <c r="S43" s="3">
        <v>125</v>
      </c>
      <c r="T43" s="3">
        <v>4</v>
      </c>
    </row>
    <row r="44" spans="1:20" ht="14.75" x14ac:dyDescent="0.75">
      <c r="A44" s="6">
        <v>45726</v>
      </c>
      <c r="B44" s="6" t="str">
        <f t="shared" si="0"/>
        <v>S11_2025</v>
      </c>
      <c r="C44" s="15">
        <f t="shared" si="2"/>
        <v>94</v>
      </c>
      <c r="D44" s="12">
        <v>0</v>
      </c>
      <c r="E44">
        <v>0</v>
      </c>
      <c r="F44" s="12">
        <v>0</v>
      </c>
      <c r="G44">
        <v>0</v>
      </c>
      <c r="H44">
        <v>0</v>
      </c>
      <c r="I44">
        <v>6</v>
      </c>
      <c r="J44">
        <v>0</v>
      </c>
      <c r="K44">
        <v>0</v>
      </c>
      <c r="L44">
        <v>0</v>
      </c>
      <c r="M44">
        <v>2</v>
      </c>
      <c r="N44">
        <v>2</v>
      </c>
      <c r="O44">
        <v>2</v>
      </c>
      <c r="P44">
        <v>0</v>
      </c>
      <c r="Q44">
        <v>0</v>
      </c>
      <c r="R44">
        <v>0</v>
      </c>
      <c r="S44">
        <v>84</v>
      </c>
      <c r="T44">
        <v>12</v>
      </c>
    </row>
    <row r="45" spans="1:20" ht="14.75" x14ac:dyDescent="0.75">
      <c r="A45" s="6">
        <v>45727</v>
      </c>
      <c r="B45" s="6" t="str">
        <f t="shared" si="0"/>
        <v>S11_2025</v>
      </c>
      <c r="C45" s="15">
        <f t="shared" si="2"/>
        <v>172</v>
      </c>
      <c r="D45" s="12">
        <v>0</v>
      </c>
      <c r="E45">
        <v>0</v>
      </c>
      <c r="F45" s="12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166</v>
      </c>
      <c r="T45">
        <v>0</v>
      </c>
    </row>
    <row r="46" spans="1:20" ht="14.75" x14ac:dyDescent="0.75">
      <c r="A46" s="6">
        <v>45728</v>
      </c>
      <c r="B46" s="6" t="str">
        <f t="shared" si="0"/>
        <v>S11_2025</v>
      </c>
      <c r="C46" s="15">
        <f t="shared" si="2"/>
        <v>152</v>
      </c>
      <c r="D46" s="12">
        <v>0</v>
      </c>
      <c r="E46">
        <v>0</v>
      </c>
      <c r="F46" s="12">
        <v>3</v>
      </c>
      <c r="G46">
        <v>0</v>
      </c>
      <c r="H46">
        <v>0</v>
      </c>
      <c r="I46">
        <v>0</v>
      </c>
      <c r="J46">
        <v>1</v>
      </c>
      <c r="K46">
        <v>1</v>
      </c>
      <c r="L46">
        <v>4</v>
      </c>
      <c r="M46">
        <v>0</v>
      </c>
      <c r="N46">
        <v>2</v>
      </c>
      <c r="O46">
        <v>3</v>
      </c>
      <c r="P46">
        <v>0</v>
      </c>
      <c r="Q46">
        <v>0</v>
      </c>
      <c r="R46">
        <v>0</v>
      </c>
      <c r="S46">
        <v>148</v>
      </c>
      <c r="T46">
        <v>2</v>
      </c>
    </row>
    <row r="47" spans="1:20" ht="14.75" x14ac:dyDescent="0.75">
      <c r="A47" s="6">
        <v>45729</v>
      </c>
      <c r="B47" s="6" t="str">
        <f t="shared" si="0"/>
        <v>S11_2025</v>
      </c>
      <c r="C47" s="15">
        <f t="shared" si="2"/>
        <v>180</v>
      </c>
      <c r="D47" s="12">
        <v>0</v>
      </c>
      <c r="E47">
        <v>0</v>
      </c>
      <c r="F47" s="12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7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177</v>
      </c>
      <c r="T47">
        <v>14</v>
      </c>
    </row>
    <row r="48" spans="1:20" ht="14.75" x14ac:dyDescent="0.75">
      <c r="A48" s="6">
        <v>45730</v>
      </c>
      <c r="B48" s="6" t="str">
        <f t="shared" si="0"/>
        <v>S11_2025</v>
      </c>
      <c r="C48" s="15">
        <f t="shared" si="2"/>
        <v>160</v>
      </c>
      <c r="D48" s="12">
        <v>0</v>
      </c>
      <c r="E48">
        <v>0</v>
      </c>
      <c r="F48" s="12">
        <v>2</v>
      </c>
      <c r="G48">
        <v>0</v>
      </c>
      <c r="H48">
        <v>0</v>
      </c>
      <c r="I48">
        <v>3</v>
      </c>
      <c r="J48">
        <v>0</v>
      </c>
      <c r="K48">
        <v>0</v>
      </c>
      <c r="L48">
        <v>5</v>
      </c>
      <c r="M48">
        <v>2</v>
      </c>
      <c r="N48">
        <v>1</v>
      </c>
      <c r="O48">
        <v>5</v>
      </c>
      <c r="P48">
        <v>0</v>
      </c>
      <c r="Q48">
        <v>0</v>
      </c>
      <c r="R48">
        <v>0</v>
      </c>
      <c r="S48">
        <v>150</v>
      </c>
      <c r="T48">
        <v>17</v>
      </c>
    </row>
    <row r="49" spans="1:20" ht="14.75" x14ac:dyDescent="0.75">
      <c r="A49" s="6">
        <v>45731</v>
      </c>
      <c r="B49" s="6" t="str">
        <f t="shared" si="0"/>
        <v>S11_2025</v>
      </c>
      <c r="C49" s="15">
        <f t="shared" si="2"/>
        <v>75</v>
      </c>
      <c r="D49" s="12">
        <v>0</v>
      </c>
      <c r="E49">
        <v>0</v>
      </c>
      <c r="F49" s="12">
        <v>0</v>
      </c>
      <c r="G49">
        <v>0</v>
      </c>
      <c r="H49">
        <v>4</v>
      </c>
      <c r="I49">
        <v>0</v>
      </c>
      <c r="J49">
        <v>0</v>
      </c>
      <c r="K49">
        <v>4</v>
      </c>
      <c r="L49">
        <v>0</v>
      </c>
      <c r="M49">
        <v>0</v>
      </c>
      <c r="N49">
        <v>1</v>
      </c>
      <c r="O49">
        <v>2</v>
      </c>
      <c r="P49">
        <v>0</v>
      </c>
      <c r="Q49">
        <v>0</v>
      </c>
      <c r="R49">
        <v>0</v>
      </c>
      <c r="S49">
        <v>69</v>
      </c>
      <c r="T49">
        <v>20</v>
      </c>
    </row>
    <row r="50" spans="1:20" ht="14.75" x14ac:dyDescent="0.75">
      <c r="A50" s="6">
        <v>45732</v>
      </c>
      <c r="B50" s="6" t="str">
        <f t="shared" si="0"/>
        <v>S11_2025</v>
      </c>
      <c r="C50" s="15">
        <f t="shared" si="2"/>
        <v>172</v>
      </c>
      <c r="D50" s="12">
        <v>0</v>
      </c>
      <c r="E50">
        <v>0</v>
      </c>
      <c r="F50" s="12">
        <v>0</v>
      </c>
      <c r="G50">
        <v>0</v>
      </c>
      <c r="H50">
        <v>0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167</v>
      </c>
      <c r="T50">
        <v>25</v>
      </c>
    </row>
    <row r="51" spans="1:20" ht="14.75" x14ac:dyDescent="0.75">
      <c r="A51" s="6">
        <v>45733</v>
      </c>
      <c r="B51" s="6" t="str">
        <f t="shared" si="0"/>
        <v>S12_2025</v>
      </c>
      <c r="C51" s="15">
        <f t="shared" si="2"/>
        <v>136</v>
      </c>
      <c r="D51" s="12">
        <v>0</v>
      </c>
      <c r="E51">
        <v>0</v>
      </c>
      <c r="F51" s="12">
        <v>1</v>
      </c>
      <c r="G51">
        <v>0</v>
      </c>
      <c r="H51">
        <v>0</v>
      </c>
      <c r="I51">
        <v>2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134</v>
      </c>
      <c r="T51">
        <v>2</v>
      </c>
    </row>
    <row r="52" spans="1:20" ht="14.75" x14ac:dyDescent="0.75">
      <c r="A52" s="6">
        <v>45734</v>
      </c>
      <c r="B52" s="6" t="str">
        <f t="shared" si="0"/>
        <v>S12_2025</v>
      </c>
      <c r="C52" s="15">
        <f t="shared" si="2"/>
        <v>156</v>
      </c>
      <c r="D52" s="12">
        <v>0</v>
      </c>
      <c r="E52">
        <v>0</v>
      </c>
      <c r="F52" s="12">
        <v>0</v>
      </c>
      <c r="G52">
        <v>9</v>
      </c>
      <c r="H52">
        <v>0</v>
      </c>
      <c r="I52">
        <v>1</v>
      </c>
      <c r="J52">
        <v>0</v>
      </c>
      <c r="K52">
        <v>3</v>
      </c>
      <c r="L52">
        <v>0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141</v>
      </c>
      <c r="T52">
        <v>22</v>
      </c>
    </row>
    <row r="53" spans="1:20" ht="14.75" x14ac:dyDescent="0.75">
      <c r="A53" s="6">
        <v>45735</v>
      </c>
      <c r="B53" s="6" t="str">
        <f t="shared" si="0"/>
        <v>S12_2025</v>
      </c>
      <c r="C53" s="15">
        <f t="shared" si="2"/>
        <v>49</v>
      </c>
      <c r="D53" s="12">
        <v>0</v>
      </c>
      <c r="E53">
        <v>0</v>
      </c>
      <c r="F53" s="12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49</v>
      </c>
      <c r="T53">
        <v>15</v>
      </c>
    </row>
    <row r="54" spans="1:20" ht="14.75" x14ac:dyDescent="0.75">
      <c r="A54" s="6">
        <v>45736</v>
      </c>
      <c r="B54" s="6" t="str">
        <f t="shared" si="0"/>
        <v>S12_2025</v>
      </c>
      <c r="C54" s="15">
        <f t="shared" si="2"/>
        <v>206</v>
      </c>
      <c r="D54" s="12">
        <v>0</v>
      </c>
      <c r="E54">
        <v>0</v>
      </c>
      <c r="F54" s="12">
        <v>0</v>
      </c>
      <c r="G54">
        <v>0</v>
      </c>
      <c r="H54">
        <v>0</v>
      </c>
      <c r="I54">
        <v>0</v>
      </c>
      <c r="J54">
        <v>3</v>
      </c>
      <c r="K54">
        <v>2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203</v>
      </c>
      <c r="T54">
        <v>7</v>
      </c>
    </row>
    <row r="55" spans="1:20" ht="14.75" x14ac:dyDescent="0.75">
      <c r="A55" s="6">
        <v>45737</v>
      </c>
      <c r="B55" s="6" t="str">
        <f t="shared" si="0"/>
        <v>S12_2025</v>
      </c>
      <c r="C55" s="15">
        <f t="shared" si="2"/>
        <v>71</v>
      </c>
      <c r="D55" s="12">
        <v>0</v>
      </c>
      <c r="E55">
        <v>0</v>
      </c>
      <c r="F55" s="12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70</v>
      </c>
      <c r="T55">
        <v>7</v>
      </c>
    </row>
    <row r="56" spans="1:20" ht="14.75" x14ac:dyDescent="0.75">
      <c r="A56" s="6">
        <v>45738</v>
      </c>
      <c r="B56" s="6" t="str">
        <f t="shared" si="0"/>
        <v>S12_2025</v>
      </c>
      <c r="C56" s="15">
        <f t="shared" si="2"/>
        <v>48</v>
      </c>
      <c r="D56" s="12">
        <v>1</v>
      </c>
      <c r="E56">
        <v>0</v>
      </c>
      <c r="F56" s="12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1</v>
      </c>
      <c r="N56">
        <v>4</v>
      </c>
      <c r="O56">
        <v>2</v>
      </c>
      <c r="P56">
        <v>0</v>
      </c>
      <c r="Q56">
        <v>0</v>
      </c>
      <c r="R56">
        <v>0</v>
      </c>
      <c r="S56">
        <v>45</v>
      </c>
      <c r="T56">
        <v>4</v>
      </c>
    </row>
    <row r="57" spans="1:20" ht="14.75" x14ac:dyDescent="0.75">
      <c r="A57" s="6">
        <v>45739</v>
      </c>
      <c r="B57" s="6" t="str">
        <f t="shared" si="0"/>
        <v>S12_2025</v>
      </c>
      <c r="C57" s="15">
        <f t="shared" si="2"/>
        <v>104</v>
      </c>
      <c r="D57" s="12">
        <v>0</v>
      </c>
      <c r="E57">
        <v>0</v>
      </c>
      <c r="F57" s="12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98</v>
      </c>
      <c r="T57">
        <v>11</v>
      </c>
    </row>
    <row r="58" spans="1:20" ht="14.75" x14ac:dyDescent="0.75">
      <c r="A58" s="6">
        <v>45740</v>
      </c>
      <c r="B58" s="6" t="str">
        <f t="shared" si="0"/>
        <v>S13_2025</v>
      </c>
      <c r="C58" s="15">
        <f t="shared" si="2"/>
        <v>125</v>
      </c>
      <c r="D58" s="12">
        <v>0</v>
      </c>
      <c r="E58">
        <v>0</v>
      </c>
      <c r="F58" s="12">
        <v>7</v>
      </c>
      <c r="G58">
        <v>0</v>
      </c>
      <c r="H58">
        <v>1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  <c r="O58">
        <v>9</v>
      </c>
      <c r="P58">
        <v>0</v>
      </c>
      <c r="Q58">
        <v>0</v>
      </c>
      <c r="R58">
        <v>0</v>
      </c>
      <c r="S58">
        <v>112</v>
      </c>
      <c r="T58">
        <v>21</v>
      </c>
    </row>
    <row r="59" spans="1:20" ht="14.75" x14ac:dyDescent="0.75">
      <c r="A59" s="6">
        <v>45741</v>
      </c>
      <c r="B59" s="6" t="str">
        <f t="shared" si="0"/>
        <v>S13_2025</v>
      </c>
      <c r="C59" s="15">
        <f t="shared" si="2"/>
        <v>148</v>
      </c>
      <c r="D59" s="12">
        <v>0</v>
      </c>
      <c r="E59">
        <v>0</v>
      </c>
      <c r="F59" s="12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144</v>
      </c>
      <c r="T59">
        <v>0</v>
      </c>
    </row>
    <row r="60" spans="1:20" ht="14.75" x14ac:dyDescent="0.75">
      <c r="A60" s="6">
        <v>45742</v>
      </c>
      <c r="B60" s="6" t="str">
        <f t="shared" si="0"/>
        <v>S13_2025</v>
      </c>
      <c r="C60" s="15">
        <f t="shared" si="2"/>
        <v>78</v>
      </c>
      <c r="D60" s="12">
        <v>0</v>
      </c>
      <c r="E60">
        <v>0</v>
      </c>
      <c r="F60" s="12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78</v>
      </c>
      <c r="T60">
        <v>62</v>
      </c>
    </row>
    <row r="61" spans="1:20" ht="14.75" x14ac:dyDescent="0.75">
      <c r="A61" s="6">
        <v>45743</v>
      </c>
      <c r="B61" s="6" t="str">
        <f t="shared" si="0"/>
        <v>S13_2025</v>
      </c>
      <c r="C61" s="15">
        <f t="shared" si="2"/>
        <v>92</v>
      </c>
      <c r="D61" s="12">
        <v>0</v>
      </c>
      <c r="E61">
        <v>0</v>
      </c>
      <c r="F61" s="12">
        <v>0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3</v>
      </c>
      <c r="O61">
        <v>1</v>
      </c>
      <c r="P61">
        <v>0</v>
      </c>
      <c r="Q61">
        <v>0</v>
      </c>
      <c r="R61">
        <v>0</v>
      </c>
      <c r="S61">
        <v>90</v>
      </c>
      <c r="T61">
        <v>0</v>
      </c>
    </row>
    <row r="62" spans="1:20" ht="14.75" x14ac:dyDescent="0.75">
      <c r="A62" s="6">
        <v>45744</v>
      </c>
      <c r="B62" s="6" t="str">
        <f t="shared" si="0"/>
        <v>S13_2025</v>
      </c>
      <c r="C62" s="15">
        <f t="shared" si="2"/>
        <v>187</v>
      </c>
      <c r="D62" s="12">
        <v>0</v>
      </c>
      <c r="E62">
        <v>0</v>
      </c>
      <c r="F62" s="12">
        <v>0</v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2</v>
      </c>
      <c r="O62">
        <v>5</v>
      </c>
      <c r="P62">
        <v>0</v>
      </c>
      <c r="Q62">
        <v>0</v>
      </c>
      <c r="R62">
        <v>0</v>
      </c>
      <c r="S62">
        <v>179</v>
      </c>
      <c r="T62">
        <v>2</v>
      </c>
    </row>
    <row r="63" spans="1:20" ht="14.75" x14ac:dyDescent="0.75">
      <c r="A63" s="6">
        <v>45745</v>
      </c>
      <c r="B63" s="6" t="str">
        <f t="shared" si="0"/>
        <v>S13_2025</v>
      </c>
      <c r="C63" s="15">
        <f t="shared" si="2"/>
        <v>304</v>
      </c>
      <c r="D63" s="12">
        <v>0</v>
      </c>
      <c r="E63">
        <v>0</v>
      </c>
      <c r="F63" s="12">
        <v>0</v>
      </c>
      <c r="G63">
        <v>1</v>
      </c>
      <c r="H63">
        <v>0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  <c r="P63">
        <v>0</v>
      </c>
      <c r="Q63">
        <v>0</v>
      </c>
      <c r="R63">
        <v>0</v>
      </c>
      <c r="S63">
        <v>295</v>
      </c>
      <c r="T63">
        <v>6</v>
      </c>
    </row>
    <row r="64" spans="1:20" ht="14.75" x14ac:dyDescent="0.75">
      <c r="A64" s="6">
        <v>45746</v>
      </c>
      <c r="B64" s="6" t="str">
        <f t="shared" si="0"/>
        <v>S13_2025</v>
      </c>
      <c r="C64" s="15">
        <f t="shared" si="2"/>
        <v>63</v>
      </c>
      <c r="D64" s="12">
        <v>0</v>
      </c>
      <c r="E64">
        <v>0</v>
      </c>
      <c r="F64" s="12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</v>
      </c>
      <c r="O64">
        <v>13</v>
      </c>
      <c r="P64">
        <v>0</v>
      </c>
      <c r="Q64">
        <v>0</v>
      </c>
      <c r="S64">
        <v>50</v>
      </c>
      <c r="T64">
        <v>0</v>
      </c>
    </row>
    <row r="65" spans="1:20" ht="14.75" x14ac:dyDescent="0.75">
      <c r="A65" s="6">
        <v>45747</v>
      </c>
      <c r="B65" s="6" t="str">
        <f t="shared" si="0"/>
        <v>S14_2025</v>
      </c>
      <c r="C65" s="15">
        <f t="shared" si="2"/>
        <v>75</v>
      </c>
      <c r="D65" s="12">
        <v>0</v>
      </c>
      <c r="E65">
        <v>0</v>
      </c>
      <c r="F65" s="12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</v>
      </c>
      <c r="O65">
        <v>10</v>
      </c>
      <c r="P65">
        <v>0</v>
      </c>
      <c r="Q65">
        <v>0</v>
      </c>
      <c r="R65">
        <v>0</v>
      </c>
      <c r="S65">
        <v>65</v>
      </c>
      <c r="T65">
        <v>8</v>
      </c>
    </row>
    <row r="66" spans="1:20" ht="14.75" x14ac:dyDescent="0.75">
      <c r="A66" s="6">
        <v>45748</v>
      </c>
      <c r="B66" s="6" t="str">
        <f t="shared" ref="B66:B129" si="3">CONCATENATE("S",_xlfn.ISOWEEKNUM(A66),"_",IF(AND(MONTH(A66)=12,_xlfn.ISOWEEKNUM(A66)=1),YEAR(A66)+1,IF(AND(MONTH(A66)=1,_xlfn.ISOWEEKNUM(A66)&gt;50),YEAR(A66)-1,YEAR(A66))))</f>
        <v>S14_2025</v>
      </c>
      <c r="C66" s="15">
        <f t="shared" si="2"/>
        <v>139</v>
      </c>
      <c r="D66" s="12">
        <v>2</v>
      </c>
      <c r="E66">
        <v>0</v>
      </c>
      <c r="F66" s="12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2</v>
      </c>
      <c r="Q66">
        <v>0</v>
      </c>
      <c r="R66">
        <v>0</v>
      </c>
      <c r="S66">
        <v>137</v>
      </c>
      <c r="T66">
        <v>14</v>
      </c>
    </row>
    <row r="67" spans="1:20" ht="14.75" x14ac:dyDescent="0.75">
      <c r="A67" s="6">
        <v>45749</v>
      </c>
      <c r="B67" s="6" t="str">
        <f t="shared" si="3"/>
        <v>S14_2025</v>
      </c>
      <c r="C67" s="15">
        <f t="shared" si="2"/>
        <v>93</v>
      </c>
      <c r="D67" s="12">
        <v>0</v>
      </c>
      <c r="E67">
        <v>0</v>
      </c>
      <c r="F67" s="12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4</v>
      </c>
      <c r="P67">
        <v>2</v>
      </c>
      <c r="Q67">
        <v>0</v>
      </c>
      <c r="R67">
        <v>0</v>
      </c>
      <c r="S67">
        <v>89</v>
      </c>
      <c r="T67">
        <v>5</v>
      </c>
    </row>
    <row r="68" spans="1:20" ht="14.75" x14ac:dyDescent="0.75">
      <c r="A68" s="6">
        <v>45750</v>
      </c>
      <c r="B68" s="6" t="str">
        <f t="shared" si="3"/>
        <v>S14_2025</v>
      </c>
      <c r="C68" s="15">
        <f t="shared" si="2"/>
        <v>251</v>
      </c>
      <c r="D68" s="12">
        <v>0</v>
      </c>
      <c r="E68">
        <v>0</v>
      </c>
      <c r="F68" s="12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2</v>
      </c>
      <c r="N68">
        <v>1</v>
      </c>
      <c r="O68">
        <v>0</v>
      </c>
      <c r="P68">
        <v>0</v>
      </c>
      <c r="Q68">
        <v>0</v>
      </c>
      <c r="R68">
        <v>0</v>
      </c>
      <c r="S68">
        <v>249</v>
      </c>
      <c r="T68">
        <v>5</v>
      </c>
    </row>
    <row r="69" spans="1:20" ht="14.75" x14ac:dyDescent="0.75">
      <c r="A69" s="6">
        <v>45751</v>
      </c>
      <c r="B69" s="6" t="str">
        <f t="shared" si="3"/>
        <v>S14_2025</v>
      </c>
      <c r="C69" s="15">
        <f t="shared" si="2"/>
        <v>296</v>
      </c>
      <c r="D69" s="12">
        <v>0</v>
      </c>
      <c r="E69">
        <v>0</v>
      </c>
      <c r="F69" s="12">
        <v>0</v>
      </c>
      <c r="G69">
        <v>0</v>
      </c>
      <c r="H69">
        <v>0</v>
      </c>
      <c r="I69">
        <v>0</v>
      </c>
      <c r="J69">
        <v>2</v>
      </c>
      <c r="K69">
        <v>1</v>
      </c>
      <c r="L69">
        <v>0</v>
      </c>
      <c r="M69">
        <v>0</v>
      </c>
      <c r="N69">
        <v>2</v>
      </c>
      <c r="O69">
        <v>13</v>
      </c>
      <c r="P69">
        <v>0</v>
      </c>
      <c r="Q69">
        <v>0</v>
      </c>
      <c r="R69">
        <v>0</v>
      </c>
      <c r="S69">
        <v>282</v>
      </c>
      <c r="T69">
        <v>0</v>
      </c>
    </row>
    <row r="70" spans="1:20" ht="14.75" x14ac:dyDescent="0.75">
      <c r="A70" s="6">
        <v>45752</v>
      </c>
      <c r="B70" s="6" t="str">
        <f t="shared" si="3"/>
        <v>S14_2025</v>
      </c>
      <c r="C70" s="15">
        <f t="shared" si="2"/>
        <v>137</v>
      </c>
      <c r="D70" s="12">
        <v>0</v>
      </c>
      <c r="E70">
        <v>0</v>
      </c>
      <c r="F70" s="12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137</v>
      </c>
      <c r="T70">
        <v>4</v>
      </c>
    </row>
    <row r="71" spans="1:20" ht="14.75" x14ac:dyDescent="0.75">
      <c r="A71" s="6">
        <v>45753</v>
      </c>
      <c r="B71" s="6" t="str">
        <f t="shared" si="3"/>
        <v>S14_2025</v>
      </c>
      <c r="C71" s="15">
        <f t="shared" si="2"/>
        <v>0</v>
      </c>
      <c r="D71" s="12">
        <v>0</v>
      </c>
      <c r="E71">
        <v>0</v>
      </c>
      <c r="F71" s="12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ht="14.75" x14ac:dyDescent="0.75">
      <c r="A72" s="6">
        <v>45754</v>
      </c>
      <c r="B72" s="6" t="str">
        <f t="shared" si="3"/>
        <v>S15_2025</v>
      </c>
      <c r="C72" s="15">
        <f t="shared" si="2"/>
        <v>46</v>
      </c>
      <c r="D72" s="12">
        <v>0</v>
      </c>
      <c r="E72">
        <v>0</v>
      </c>
      <c r="F72" s="1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46</v>
      </c>
      <c r="T72">
        <v>27</v>
      </c>
    </row>
    <row r="73" spans="1:20" ht="14.75" x14ac:dyDescent="0.75">
      <c r="A73" s="6">
        <v>45755</v>
      </c>
      <c r="B73" s="6" t="str">
        <f t="shared" si="3"/>
        <v>S15_2025</v>
      </c>
      <c r="C73" s="15">
        <f t="shared" si="2"/>
        <v>157</v>
      </c>
      <c r="D73" s="12">
        <v>0</v>
      </c>
      <c r="E73">
        <v>0</v>
      </c>
      <c r="F73" s="12">
        <v>1</v>
      </c>
      <c r="G73">
        <v>0</v>
      </c>
      <c r="H73">
        <v>4</v>
      </c>
      <c r="I73">
        <v>0</v>
      </c>
      <c r="J73">
        <v>0</v>
      </c>
      <c r="K73">
        <v>0</v>
      </c>
      <c r="L73">
        <v>0</v>
      </c>
      <c r="M73">
        <v>2</v>
      </c>
      <c r="N73">
        <v>1</v>
      </c>
      <c r="O73">
        <v>0</v>
      </c>
      <c r="P73">
        <v>0</v>
      </c>
      <c r="Q73">
        <v>0</v>
      </c>
      <c r="R73">
        <v>0</v>
      </c>
      <c r="S73">
        <v>155</v>
      </c>
      <c r="T73">
        <v>2</v>
      </c>
    </row>
    <row r="74" spans="1:20" ht="14.75" x14ac:dyDescent="0.75">
      <c r="A74" s="6">
        <v>45756</v>
      </c>
      <c r="B74" s="6" t="str">
        <f t="shared" si="3"/>
        <v>S15_2025</v>
      </c>
      <c r="C74" s="15">
        <f t="shared" si="2"/>
        <v>244</v>
      </c>
      <c r="D74" s="12">
        <v>0</v>
      </c>
      <c r="E74">
        <v>0</v>
      </c>
      <c r="F74" s="12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242</v>
      </c>
      <c r="T74">
        <v>13</v>
      </c>
    </row>
    <row r="75" spans="1:20" ht="14.75" x14ac:dyDescent="0.75">
      <c r="A75" s="6">
        <v>45757</v>
      </c>
      <c r="B75" s="6" t="str">
        <f t="shared" si="3"/>
        <v>S15_2025</v>
      </c>
      <c r="C75" s="15">
        <f t="shared" si="2"/>
        <v>136</v>
      </c>
      <c r="D75" s="12">
        <v>0</v>
      </c>
      <c r="E75">
        <v>0</v>
      </c>
      <c r="F75" s="12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132</v>
      </c>
      <c r="T75">
        <v>0</v>
      </c>
    </row>
    <row r="76" spans="1:20" ht="14.75" x14ac:dyDescent="0.75">
      <c r="A76" s="6">
        <v>45758</v>
      </c>
      <c r="B76" s="6" t="str">
        <f t="shared" si="3"/>
        <v>S15_2025</v>
      </c>
      <c r="C76" s="15">
        <f t="shared" si="2"/>
        <v>116</v>
      </c>
      <c r="D76" s="12">
        <v>0</v>
      </c>
      <c r="E76">
        <v>0</v>
      </c>
      <c r="F76" s="12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5</v>
      </c>
      <c r="P76">
        <v>0</v>
      </c>
      <c r="Q76">
        <v>0</v>
      </c>
      <c r="R76">
        <v>0</v>
      </c>
      <c r="S76">
        <v>110</v>
      </c>
      <c r="T76">
        <v>6</v>
      </c>
    </row>
    <row r="77" spans="1:20" ht="14.75" x14ac:dyDescent="0.75">
      <c r="A77" s="6">
        <v>45759</v>
      </c>
      <c r="B77" s="6" t="str">
        <f t="shared" si="3"/>
        <v>S15_2025</v>
      </c>
      <c r="C77" s="15">
        <f t="shared" si="2"/>
        <v>0</v>
      </c>
      <c r="D77" s="12">
        <v>0</v>
      </c>
      <c r="E77">
        <v>0</v>
      </c>
      <c r="F77" s="12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ht="14.75" x14ac:dyDescent="0.75">
      <c r="A78" s="6">
        <v>45760</v>
      </c>
      <c r="B78" s="6" t="str">
        <f t="shared" si="3"/>
        <v>S15_2025</v>
      </c>
      <c r="C78" s="15">
        <f t="shared" si="2"/>
        <v>208</v>
      </c>
      <c r="D78" s="12">
        <v>0</v>
      </c>
      <c r="E78">
        <v>0</v>
      </c>
      <c r="F78" s="12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208</v>
      </c>
      <c r="T78">
        <v>24</v>
      </c>
    </row>
    <row r="79" spans="1:20" ht="14.75" x14ac:dyDescent="0.75">
      <c r="A79" s="6">
        <v>45761</v>
      </c>
      <c r="B79" s="6" t="str">
        <f t="shared" si="3"/>
        <v>S16_2025</v>
      </c>
      <c r="C79" s="15">
        <f t="shared" si="2"/>
        <v>116</v>
      </c>
      <c r="D79" s="12">
        <v>0</v>
      </c>
      <c r="E79">
        <v>0</v>
      </c>
      <c r="F79" s="12">
        <v>7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5</v>
      </c>
      <c r="P79">
        <v>0</v>
      </c>
      <c r="Q79">
        <v>0</v>
      </c>
      <c r="R79">
        <v>0</v>
      </c>
      <c r="S79">
        <v>110</v>
      </c>
      <c r="T79">
        <v>6</v>
      </c>
    </row>
    <row r="80" spans="1:20" ht="14.75" x14ac:dyDescent="0.75">
      <c r="A80" s="6">
        <v>45762</v>
      </c>
      <c r="B80" s="6" t="str">
        <f t="shared" si="3"/>
        <v>S16_2025</v>
      </c>
      <c r="C80" s="15">
        <f t="shared" si="2"/>
        <v>311</v>
      </c>
      <c r="D80" s="12">
        <v>0</v>
      </c>
      <c r="E80">
        <v>0</v>
      </c>
      <c r="F80" s="12">
        <v>0</v>
      </c>
      <c r="G80">
        <v>0</v>
      </c>
      <c r="H80">
        <v>0</v>
      </c>
      <c r="I80">
        <v>0</v>
      </c>
      <c r="J80">
        <v>0</v>
      </c>
      <c r="K80">
        <v>4</v>
      </c>
      <c r="L80">
        <v>0</v>
      </c>
      <c r="M80">
        <v>0</v>
      </c>
      <c r="N80">
        <v>0</v>
      </c>
      <c r="O80">
        <v>10</v>
      </c>
      <c r="P80">
        <v>0</v>
      </c>
      <c r="Q80">
        <v>0</v>
      </c>
      <c r="R80">
        <v>0</v>
      </c>
      <c r="S80">
        <v>297</v>
      </c>
      <c r="T80">
        <v>17</v>
      </c>
    </row>
    <row r="81" spans="1:20" ht="14.75" x14ac:dyDescent="0.75">
      <c r="A81" s="6">
        <v>45763</v>
      </c>
      <c r="B81" s="6" t="str">
        <f t="shared" si="3"/>
        <v>S16_2025</v>
      </c>
      <c r="C81" s="15">
        <f t="shared" si="2"/>
        <v>297</v>
      </c>
      <c r="D81" s="12">
        <v>0</v>
      </c>
      <c r="E81">
        <v>0</v>
      </c>
      <c r="F81" s="12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296</v>
      </c>
      <c r="T81">
        <v>4</v>
      </c>
    </row>
    <row r="82" spans="1:20" ht="14.75" x14ac:dyDescent="0.75">
      <c r="A82" s="6">
        <v>45764</v>
      </c>
      <c r="B82" s="6" t="str">
        <f t="shared" si="3"/>
        <v>S16_2025</v>
      </c>
      <c r="C82" s="15">
        <f t="shared" si="2"/>
        <v>122</v>
      </c>
      <c r="D82" s="12">
        <v>0</v>
      </c>
      <c r="E82">
        <v>0</v>
      </c>
      <c r="F82" s="12">
        <v>0</v>
      </c>
      <c r="G82">
        <v>0</v>
      </c>
      <c r="H82">
        <v>4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120</v>
      </c>
      <c r="T82">
        <v>5</v>
      </c>
    </row>
    <row r="83" spans="1:20" ht="14.75" x14ac:dyDescent="0.75">
      <c r="A83" s="6">
        <v>45765</v>
      </c>
      <c r="B83" s="6" t="str">
        <f t="shared" si="3"/>
        <v>S16_2025</v>
      </c>
      <c r="C83" s="15">
        <f t="shared" ref="C83:C146" si="4">E83+G83+I83+K83+M83+O83+Q83+S83+U83+W83+Y83+AA83+AC83+AE83+AG83+AI83+AK83</f>
        <v>350</v>
      </c>
      <c r="D83" s="12">
        <v>0</v>
      </c>
      <c r="E83">
        <v>0</v>
      </c>
      <c r="F83" s="12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348</v>
      </c>
      <c r="T83">
        <v>5</v>
      </c>
    </row>
    <row r="84" spans="1:20" ht="14.75" x14ac:dyDescent="0.75">
      <c r="A84" s="6">
        <v>45766</v>
      </c>
      <c r="B84" s="6" t="str">
        <f t="shared" si="3"/>
        <v>S16_2025</v>
      </c>
      <c r="C84" s="15">
        <f t="shared" si="4"/>
        <v>218</v>
      </c>
      <c r="D84" s="12">
        <v>0</v>
      </c>
      <c r="E84">
        <v>0</v>
      </c>
      <c r="F84" s="12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218</v>
      </c>
      <c r="T84">
        <v>18</v>
      </c>
    </row>
    <row r="85" spans="1:20" ht="14.75" x14ac:dyDescent="0.75">
      <c r="A85" s="6">
        <v>45767</v>
      </c>
      <c r="B85" s="6" t="str">
        <f t="shared" si="3"/>
        <v>S16_2025</v>
      </c>
      <c r="C85" s="15">
        <f t="shared" si="4"/>
        <v>250</v>
      </c>
      <c r="D85" s="12">
        <v>0</v>
      </c>
      <c r="E85">
        <v>0</v>
      </c>
      <c r="F85" s="12">
        <v>0</v>
      </c>
      <c r="G85">
        <v>1</v>
      </c>
      <c r="H85">
        <v>0</v>
      </c>
      <c r="I85">
        <v>8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240</v>
      </c>
      <c r="T85">
        <v>6</v>
      </c>
    </row>
    <row r="86" spans="1:20" ht="14.75" x14ac:dyDescent="0.75">
      <c r="A86" s="6">
        <v>45768</v>
      </c>
      <c r="B86" s="6" t="str">
        <f t="shared" si="3"/>
        <v>S17_2025</v>
      </c>
      <c r="C86" s="15">
        <f t="shared" si="4"/>
        <v>280</v>
      </c>
      <c r="D86" s="12">
        <v>0</v>
      </c>
      <c r="E86">
        <v>0</v>
      </c>
      <c r="F86" s="12">
        <v>1</v>
      </c>
      <c r="G86">
        <v>0</v>
      </c>
      <c r="H86">
        <v>12</v>
      </c>
      <c r="I86">
        <v>0</v>
      </c>
      <c r="J86">
        <v>0</v>
      </c>
      <c r="K86">
        <v>0</v>
      </c>
      <c r="L86">
        <v>0</v>
      </c>
      <c r="M86">
        <v>6</v>
      </c>
      <c r="N86">
        <v>0</v>
      </c>
      <c r="O86">
        <v>4</v>
      </c>
      <c r="P86">
        <v>0</v>
      </c>
      <c r="Q86">
        <v>0</v>
      </c>
      <c r="R86">
        <v>0</v>
      </c>
      <c r="S86">
        <v>270</v>
      </c>
      <c r="T86">
        <v>7</v>
      </c>
    </row>
    <row r="87" spans="1:20" ht="14.75" x14ac:dyDescent="0.75">
      <c r="A87" s="6">
        <v>45769</v>
      </c>
      <c r="B87" s="6" t="str">
        <f t="shared" si="3"/>
        <v>S17_2025</v>
      </c>
      <c r="C87" s="15">
        <f t="shared" si="4"/>
        <v>142</v>
      </c>
      <c r="D87" s="12">
        <v>0</v>
      </c>
      <c r="E87">
        <v>0</v>
      </c>
      <c r="F87" s="12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4</v>
      </c>
      <c r="N87">
        <v>4</v>
      </c>
      <c r="O87">
        <v>5</v>
      </c>
      <c r="P87">
        <v>0</v>
      </c>
      <c r="Q87">
        <v>0</v>
      </c>
      <c r="R87">
        <v>0</v>
      </c>
      <c r="S87">
        <v>133</v>
      </c>
      <c r="T87">
        <v>13</v>
      </c>
    </row>
    <row r="88" spans="1:20" ht="14.75" x14ac:dyDescent="0.75">
      <c r="A88" s="6">
        <v>45770</v>
      </c>
      <c r="B88" s="6" t="str">
        <f t="shared" si="3"/>
        <v>S17_2025</v>
      </c>
      <c r="C88" s="15">
        <f t="shared" si="4"/>
        <v>118</v>
      </c>
      <c r="D88" s="12">
        <v>0</v>
      </c>
      <c r="E88">
        <v>0</v>
      </c>
      <c r="F88" s="12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</v>
      </c>
      <c r="P88">
        <v>0</v>
      </c>
      <c r="Q88">
        <v>0</v>
      </c>
      <c r="R88">
        <v>0</v>
      </c>
      <c r="S88">
        <v>110</v>
      </c>
      <c r="T88">
        <v>2</v>
      </c>
    </row>
    <row r="89" spans="1:20" ht="14.75" x14ac:dyDescent="0.75">
      <c r="A89" s="6">
        <v>45771</v>
      </c>
      <c r="B89" s="6" t="str">
        <f t="shared" si="3"/>
        <v>S17_2025</v>
      </c>
      <c r="C89" s="15">
        <f t="shared" si="4"/>
        <v>170</v>
      </c>
      <c r="D89" s="12">
        <v>0</v>
      </c>
      <c r="E89">
        <v>0</v>
      </c>
      <c r="F89" s="12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</v>
      </c>
      <c r="N89">
        <v>11</v>
      </c>
      <c r="O89">
        <v>5</v>
      </c>
      <c r="P89">
        <v>0</v>
      </c>
      <c r="Q89">
        <v>0</v>
      </c>
      <c r="R89">
        <v>0</v>
      </c>
      <c r="S89">
        <v>163</v>
      </c>
      <c r="T89">
        <v>4</v>
      </c>
    </row>
    <row r="90" spans="1:20" ht="14.75" x14ac:dyDescent="0.75">
      <c r="A90" s="6">
        <v>45772</v>
      </c>
      <c r="B90" s="6" t="str">
        <f t="shared" si="3"/>
        <v>S17_2025</v>
      </c>
      <c r="C90" s="15">
        <f t="shared" si="4"/>
        <v>117</v>
      </c>
      <c r="D90" s="12">
        <v>0</v>
      </c>
      <c r="E90">
        <v>0</v>
      </c>
      <c r="F90" s="12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115</v>
      </c>
      <c r="T90">
        <v>12</v>
      </c>
    </row>
    <row r="91" spans="1:20" ht="14.75" x14ac:dyDescent="0.75">
      <c r="A91" s="6">
        <v>45773</v>
      </c>
      <c r="B91" s="6" t="str">
        <f t="shared" si="3"/>
        <v>S17_2025</v>
      </c>
      <c r="C91" s="15">
        <f t="shared" si="4"/>
        <v>92</v>
      </c>
      <c r="D91" s="12">
        <v>0</v>
      </c>
      <c r="E91">
        <v>0</v>
      </c>
      <c r="F91" s="12">
        <v>2</v>
      </c>
      <c r="G91">
        <v>0</v>
      </c>
      <c r="H91">
        <v>4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90</v>
      </c>
      <c r="T91">
        <v>5</v>
      </c>
    </row>
    <row r="92" spans="1:20" ht="14.75" x14ac:dyDescent="0.75">
      <c r="A92" s="6">
        <v>45774</v>
      </c>
      <c r="B92" s="6" t="str">
        <f t="shared" si="3"/>
        <v>S17_2025</v>
      </c>
      <c r="C92" s="15">
        <f t="shared" si="4"/>
        <v>140</v>
      </c>
      <c r="D92" s="12">
        <v>0</v>
      </c>
      <c r="E92">
        <v>0</v>
      </c>
      <c r="F92" s="1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2</v>
      </c>
      <c r="P92">
        <v>0</v>
      </c>
      <c r="Q92">
        <v>0</v>
      </c>
      <c r="R92">
        <v>0</v>
      </c>
      <c r="S92">
        <v>138</v>
      </c>
      <c r="T92">
        <v>4</v>
      </c>
    </row>
    <row r="93" spans="1:20" ht="14.75" x14ac:dyDescent="0.75">
      <c r="A93" s="6">
        <v>45775</v>
      </c>
      <c r="B93" s="6" t="str">
        <f t="shared" si="3"/>
        <v>S18_2025</v>
      </c>
      <c r="C93" s="15">
        <f t="shared" si="4"/>
        <v>107</v>
      </c>
      <c r="D93" s="12">
        <v>0</v>
      </c>
      <c r="E93">
        <v>0</v>
      </c>
      <c r="F93" s="12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106</v>
      </c>
      <c r="T93">
        <v>10</v>
      </c>
    </row>
    <row r="94" spans="1:20" ht="14.75" x14ac:dyDescent="0.75">
      <c r="A94" s="6">
        <v>45776</v>
      </c>
      <c r="B94" s="6" t="str">
        <f t="shared" si="3"/>
        <v>S18_2025</v>
      </c>
      <c r="C94" s="15">
        <f t="shared" si="4"/>
        <v>177</v>
      </c>
      <c r="D94" s="12">
        <v>0</v>
      </c>
      <c r="E94">
        <v>0</v>
      </c>
      <c r="F94" s="12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6</v>
      </c>
      <c r="P94">
        <v>0</v>
      </c>
      <c r="Q94">
        <v>0</v>
      </c>
      <c r="R94">
        <v>1</v>
      </c>
      <c r="S94">
        <v>169</v>
      </c>
      <c r="T94">
        <v>1</v>
      </c>
    </row>
    <row r="95" spans="1:20" ht="14.75" x14ac:dyDescent="0.75">
      <c r="A95" s="6">
        <v>45777</v>
      </c>
      <c r="B95" s="6" t="str">
        <f t="shared" si="3"/>
        <v>S18_2025</v>
      </c>
      <c r="C95" s="15">
        <f t="shared" si="4"/>
        <v>150</v>
      </c>
      <c r="D95" s="12">
        <v>0</v>
      </c>
      <c r="E95">
        <v>0</v>
      </c>
      <c r="F95" s="12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150</v>
      </c>
      <c r="T95">
        <v>5</v>
      </c>
    </row>
    <row r="96" spans="1:20" ht="14.75" x14ac:dyDescent="0.75">
      <c r="A96" s="6">
        <v>45778</v>
      </c>
      <c r="B96" s="6" t="str">
        <f t="shared" si="3"/>
        <v>S18_2025</v>
      </c>
      <c r="C96" s="15">
        <f t="shared" si="4"/>
        <v>210</v>
      </c>
      <c r="D96" s="12">
        <v>0</v>
      </c>
      <c r="E96">
        <v>0</v>
      </c>
      <c r="F96" s="12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1</v>
      </c>
      <c r="N96">
        <v>2</v>
      </c>
      <c r="O96">
        <v>4</v>
      </c>
      <c r="P96">
        <v>0</v>
      </c>
      <c r="Q96">
        <v>0</v>
      </c>
      <c r="R96">
        <v>0</v>
      </c>
      <c r="S96">
        <v>205</v>
      </c>
      <c r="T96">
        <v>1</v>
      </c>
    </row>
    <row r="97" spans="1:20" ht="14.75" x14ac:dyDescent="0.75">
      <c r="A97" s="6">
        <v>45779</v>
      </c>
      <c r="B97" s="6" t="str">
        <f t="shared" si="3"/>
        <v>S18_2025</v>
      </c>
      <c r="C97" s="15">
        <f t="shared" si="4"/>
        <v>160</v>
      </c>
      <c r="D97" s="12">
        <v>0</v>
      </c>
      <c r="E97">
        <v>0</v>
      </c>
      <c r="F97" s="12">
        <v>0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0</v>
      </c>
      <c r="R97">
        <v>0</v>
      </c>
      <c r="S97">
        <v>155</v>
      </c>
      <c r="T97">
        <v>3</v>
      </c>
    </row>
    <row r="98" spans="1:20" ht="14.75" x14ac:dyDescent="0.75">
      <c r="A98" s="6">
        <v>45780</v>
      </c>
      <c r="B98" s="6" t="str">
        <f t="shared" si="3"/>
        <v>S18_2025</v>
      </c>
      <c r="C98" s="15">
        <f t="shared" si="4"/>
        <v>252</v>
      </c>
      <c r="D98" s="12">
        <v>0</v>
      </c>
      <c r="E98">
        <v>0</v>
      </c>
      <c r="F98" s="12">
        <v>2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2</v>
      </c>
      <c r="N98">
        <v>0</v>
      </c>
      <c r="O98">
        <v>3</v>
      </c>
      <c r="P98">
        <v>0</v>
      </c>
      <c r="Q98">
        <v>0</v>
      </c>
      <c r="R98">
        <v>0</v>
      </c>
      <c r="S98">
        <v>246</v>
      </c>
      <c r="T98">
        <v>10</v>
      </c>
    </row>
    <row r="99" spans="1:20" ht="14.75" x14ac:dyDescent="0.75">
      <c r="A99" s="6">
        <v>45781</v>
      </c>
      <c r="B99" s="6" t="str">
        <f t="shared" si="3"/>
        <v>S18_2025</v>
      </c>
      <c r="C99" s="15">
        <f t="shared" si="4"/>
        <v>104</v>
      </c>
      <c r="D99" s="12">
        <v>0</v>
      </c>
      <c r="E99">
        <v>0</v>
      </c>
      <c r="F99" s="12">
        <v>0</v>
      </c>
      <c r="G99">
        <v>0</v>
      </c>
      <c r="H99">
        <v>0</v>
      </c>
      <c r="I99">
        <v>0</v>
      </c>
      <c r="J99">
        <v>5</v>
      </c>
      <c r="K99">
        <v>5</v>
      </c>
      <c r="L99">
        <v>3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97</v>
      </c>
      <c r="T99">
        <v>3</v>
      </c>
    </row>
    <row r="100" spans="1:20" ht="14.75" x14ac:dyDescent="0.75">
      <c r="A100" s="6">
        <v>45782</v>
      </c>
      <c r="B100" s="6" t="str">
        <f t="shared" si="3"/>
        <v>S19_2025</v>
      </c>
      <c r="C100" s="15">
        <f t="shared" si="4"/>
        <v>147</v>
      </c>
      <c r="D100" s="12">
        <v>0</v>
      </c>
      <c r="E100">
        <v>0</v>
      </c>
      <c r="F100" s="12">
        <v>0</v>
      </c>
      <c r="G100">
        <v>0</v>
      </c>
      <c r="H100">
        <v>0</v>
      </c>
      <c r="I100">
        <v>0</v>
      </c>
      <c r="J100">
        <v>0</v>
      </c>
      <c r="K100">
        <v>2</v>
      </c>
      <c r="L100">
        <v>0</v>
      </c>
      <c r="M100">
        <v>1</v>
      </c>
      <c r="N100">
        <v>3</v>
      </c>
      <c r="O100">
        <v>4</v>
      </c>
      <c r="P100">
        <v>0</v>
      </c>
      <c r="Q100">
        <v>0</v>
      </c>
      <c r="R100">
        <v>0</v>
      </c>
      <c r="S100">
        <v>140</v>
      </c>
      <c r="T100">
        <v>6</v>
      </c>
    </row>
    <row r="101" spans="1:20" ht="14.75" x14ac:dyDescent="0.75">
      <c r="A101" s="6">
        <v>45783</v>
      </c>
      <c r="B101" s="6" t="str">
        <f t="shared" si="3"/>
        <v>S19_2025</v>
      </c>
      <c r="C101" s="15">
        <f t="shared" si="4"/>
        <v>151</v>
      </c>
      <c r="D101" s="12">
        <v>0</v>
      </c>
      <c r="E101">
        <v>0</v>
      </c>
      <c r="F101" s="12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4</v>
      </c>
      <c r="P101">
        <v>0</v>
      </c>
      <c r="Q101">
        <v>0</v>
      </c>
      <c r="R101">
        <v>0</v>
      </c>
      <c r="S101">
        <v>147</v>
      </c>
      <c r="T101">
        <v>6</v>
      </c>
    </row>
    <row r="102" spans="1:20" ht="14.75" x14ac:dyDescent="0.75">
      <c r="A102" s="6">
        <v>45784</v>
      </c>
      <c r="B102" s="6" t="str">
        <f t="shared" si="3"/>
        <v>S19_2025</v>
      </c>
      <c r="C102" s="15">
        <f t="shared" si="4"/>
        <v>266</v>
      </c>
      <c r="D102" s="12">
        <v>0</v>
      </c>
      <c r="E102">
        <v>0</v>
      </c>
      <c r="F102" s="1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5</v>
      </c>
      <c r="O102">
        <v>2</v>
      </c>
      <c r="P102">
        <v>0</v>
      </c>
      <c r="Q102">
        <v>0</v>
      </c>
      <c r="R102">
        <v>0</v>
      </c>
      <c r="S102">
        <v>263</v>
      </c>
      <c r="T102">
        <v>15</v>
      </c>
    </row>
    <row r="103" spans="1:20" ht="14.75" x14ac:dyDescent="0.75">
      <c r="A103" s="6">
        <v>45785</v>
      </c>
      <c r="B103" s="6" t="str">
        <f t="shared" si="3"/>
        <v>S19_2025</v>
      </c>
      <c r="C103" s="15">
        <f t="shared" si="4"/>
        <v>116</v>
      </c>
      <c r="D103" s="12">
        <v>0</v>
      </c>
      <c r="E103">
        <v>0</v>
      </c>
      <c r="F103" s="12">
        <v>1</v>
      </c>
      <c r="G103">
        <v>0</v>
      </c>
      <c r="H103">
        <v>0</v>
      </c>
      <c r="M103">
        <v>2</v>
      </c>
      <c r="R103">
        <v>0</v>
      </c>
      <c r="S103">
        <v>114</v>
      </c>
      <c r="T103">
        <v>2</v>
      </c>
    </row>
    <row r="104" spans="1:20" ht="14.75" x14ac:dyDescent="0.75">
      <c r="A104" s="6">
        <v>45786</v>
      </c>
      <c r="B104" s="6" t="str">
        <f t="shared" si="3"/>
        <v>S19_2025</v>
      </c>
      <c r="C104" s="15">
        <f t="shared" si="4"/>
        <v>142</v>
      </c>
      <c r="D104" s="12">
        <v>0</v>
      </c>
      <c r="E104">
        <v>0</v>
      </c>
      <c r="F104" s="12">
        <v>2</v>
      </c>
      <c r="G104">
        <v>0</v>
      </c>
      <c r="H104">
        <v>0</v>
      </c>
      <c r="I104">
        <v>2</v>
      </c>
      <c r="O104">
        <v>3</v>
      </c>
      <c r="P104">
        <v>1</v>
      </c>
      <c r="Q104">
        <v>6</v>
      </c>
      <c r="R104">
        <v>0</v>
      </c>
      <c r="S104">
        <v>131</v>
      </c>
      <c r="T104">
        <v>11</v>
      </c>
    </row>
    <row r="105" spans="1:20" ht="14.75" x14ac:dyDescent="0.75">
      <c r="A105" s="6">
        <v>45787</v>
      </c>
      <c r="B105" s="6" t="str">
        <f t="shared" si="3"/>
        <v>S19_2025</v>
      </c>
      <c r="C105" s="15">
        <f t="shared" si="4"/>
        <v>129</v>
      </c>
      <c r="D105" s="12">
        <v>0</v>
      </c>
      <c r="E105">
        <v>0</v>
      </c>
      <c r="F105" s="12">
        <v>1</v>
      </c>
      <c r="G105">
        <v>0</v>
      </c>
      <c r="H105">
        <v>0</v>
      </c>
      <c r="J105">
        <v>1</v>
      </c>
      <c r="K105">
        <v>2</v>
      </c>
      <c r="L105">
        <v>0</v>
      </c>
      <c r="M105">
        <v>0</v>
      </c>
      <c r="N105">
        <v>5</v>
      </c>
      <c r="O105">
        <v>3</v>
      </c>
      <c r="P105">
        <v>0</v>
      </c>
      <c r="Q105">
        <v>0</v>
      </c>
      <c r="R105">
        <v>0</v>
      </c>
      <c r="S105">
        <v>124</v>
      </c>
      <c r="T105">
        <v>10</v>
      </c>
    </row>
    <row r="106" spans="1:20" ht="14.75" x14ac:dyDescent="0.75">
      <c r="A106" s="6">
        <v>45788</v>
      </c>
      <c r="B106" s="6" t="str">
        <f t="shared" si="3"/>
        <v>S19_2025</v>
      </c>
      <c r="C106" s="15">
        <f t="shared" si="4"/>
        <v>217</v>
      </c>
      <c r="D106" s="12">
        <v>0</v>
      </c>
      <c r="E106">
        <v>0</v>
      </c>
      <c r="F106" s="12">
        <v>0</v>
      </c>
      <c r="G106">
        <v>0</v>
      </c>
      <c r="H106">
        <v>0</v>
      </c>
      <c r="I106">
        <v>2</v>
      </c>
      <c r="J106">
        <v>1</v>
      </c>
      <c r="K106">
        <v>0</v>
      </c>
      <c r="L106">
        <v>0</v>
      </c>
      <c r="M106">
        <v>3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210</v>
      </c>
      <c r="T106">
        <v>6</v>
      </c>
    </row>
    <row r="107" spans="1:20" ht="14.75" x14ac:dyDescent="0.75">
      <c r="A107" s="6">
        <v>45789</v>
      </c>
      <c r="B107" s="6" t="str">
        <f t="shared" si="3"/>
        <v>S20_2025</v>
      </c>
      <c r="C107" s="15">
        <f t="shared" si="4"/>
        <v>140</v>
      </c>
      <c r="D107" s="12">
        <v>0</v>
      </c>
      <c r="E107">
        <v>0</v>
      </c>
      <c r="F107" s="12">
        <v>1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2</v>
      </c>
      <c r="N107">
        <v>3</v>
      </c>
      <c r="O107">
        <v>2</v>
      </c>
      <c r="P107">
        <v>0</v>
      </c>
      <c r="Q107">
        <v>0</v>
      </c>
      <c r="R107">
        <v>0</v>
      </c>
      <c r="S107">
        <v>134</v>
      </c>
      <c r="T107">
        <v>14</v>
      </c>
    </row>
    <row r="108" spans="1:20" ht="14.75" x14ac:dyDescent="0.75">
      <c r="A108" s="6">
        <v>45790</v>
      </c>
      <c r="B108" s="6" t="str">
        <f t="shared" si="3"/>
        <v>S20_2025</v>
      </c>
      <c r="C108" s="15">
        <f t="shared" si="4"/>
        <v>190</v>
      </c>
      <c r="D108" s="12">
        <v>0</v>
      </c>
      <c r="E108">
        <v>0</v>
      </c>
      <c r="F108" s="12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189</v>
      </c>
      <c r="T108">
        <v>6</v>
      </c>
    </row>
    <row r="109" spans="1:20" ht="14.75" x14ac:dyDescent="0.75">
      <c r="A109" s="6">
        <v>45791</v>
      </c>
      <c r="B109" s="6" t="str">
        <f t="shared" si="3"/>
        <v>S20_2025</v>
      </c>
      <c r="C109" s="15">
        <f t="shared" si="4"/>
        <v>131</v>
      </c>
      <c r="D109" s="12">
        <v>0</v>
      </c>
      <c r="E109">
        <v>0</v>
      </c>
      <c r="F109" s="12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131</v>
      </c>
      <c r="T109">
        <v>0</v>
      </c>
    </row>
    <row r="110" spans="1:20" ht="14.75" x14ac:dyDescent="0.75">
      <c r="A110" s="6">
        <v>45792</v>
      </c>
      <c r="B110" s="6" t="str">
        <f t="shared" si="3"/>
        <v>S20_2025</v>
      </c>
      <c r="C110" s="15">
        <f t="shared" si="4"/>
        <v>101</v>
      </c>
      <c r="D110" s="12">
        <v>0</v>
      </c>
      <c r="E110">
        <v>0</v>
      </c>
      <c r="F110" s="12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101</v>
      </c>
      <c r="T110">
        <v>22</v>
      </c>
    </row>
    <row r="111" spans="1:20" ht="14.75" x14ac:dyDescent="0.75">
      <c r="A111" s="6">
        <v>45793</v>
      </c>
      <c r="B111" s="6" t="str">
        <f t="shared" si="3"/>
        <v>S20_2025</v>
      </c>
      <c r="C111" s="15">
        <f t="shared" si="4"/>
        <v>90</v>
      </c>
      <c r="D111" s="12">
        <v>0</v>
      </c>
      <c r="E111">
        <v>0</v>
      </c>
      <c r="F111" s="12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90</v>
      </c>
      <c r="T111">
        <v>6</v>
      </c>
    </row>
    <row r="112" spans="1:20" ht="14.75" x14ac:dyDescent="0.75">
      <c r="A112" s="6">
        <v>45794</v>
      </c>
      <c r="B112" s="6" t="str">
        <f t="shared" si="3"/>
        <v>S20_2025</v>
      </c>
      <c r="C112" s="15">
        <f t="shared" si="4"/>
        <v>96</v>
      </c>
      <c r="D112" s="12">
        <v>0</v>
      </c>
      <c r="E112">
        <v>0</v>
      </c>
      <c r="F112" s="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96</v>
      </c>
      <c r="T112">
        <v>2</v>
      </c>
    </row>
    <row r="113" spans="1:20" ht="14.75" x14ac:dyDescent="0.75">
      <c r="A113" s="6">
        <v>45795</v>
      </c>
      <c r="B113" s="6" t="str">
        <f t="shared" si="3"/>
        <v>S20_2025</v>
      </c>
      <c r="C113" s="15">
        <f t="shared" si="4"/>
        <v>96</v>
      </c>
      <c r="D113" s="12">
        <v>0</v>
      </c>
      <c r="E113">
        <v>0</v>
      </c>
      <c r="F113" s="12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95</v>
      </c>
      <c r="T113">
        <v>1</v>
      </c>
    </row>
    <row r="114" spans="1:20" ht="14.75" x14ac:dyDescent="0.75">
      <c r="A114" s="6">
        <v>45796</v>
      </c>
      <c r="B114" s="6" t="str">
        <f t="shared" si="3"/>
        <v>S21_2025</v>
      </c>
      <c r="C114" s="15">
        <f t="shared" si="4"/>
        <v>149</v>
      </c>
      <c r="D114" s="12">
        <v>0</v>
      </c>
      <c r="E114">
        <v>0</v>
      </c>
      <c r="F114" s="12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149</v>
      </c>
      <c r="T114">
        <v>0</v>
      </c>
    </row>
    <row r="115" spans="1:20" ht="14.75" x14ac:dyDescent="0.75">
      <c r="A115" s="6">
        <v>45797</v>
      </c>
      <c r="B115" s="6" t="str">
        <f t="shared" si="3"/>
        <v>S21_2025</v>
      </c>
      <c r="C115" s="15">
        <f t="shared" si="4"/>
        <v>96</v>
      </c>
      <c r="D115" s="12">
        <v>0</v>
      </c>
      <c r="E115">
        <v>0</v>
      </c>
      <c r="F115" s="12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94</v>
      </c>
      <c r="T115">
        <v>2</v>
      </c>
    </row>
    <row r="116" spans="1:20" ht="14.75" x14ac:dyDescent="0.75">
      <c r="A116" s="6">
        <v>45798</v>
      </c>
      <c r="B116" s="6" t="str">
        <f t="shared" si="3"/>
        <v>S21_2025</v>
      </c>
      <c r="C116" s="15">
        <f t="shared" si="4"/>
        <v>186</v>
      </c>
      <c r="D116" s="12">
        <v>0</v>
      </c>
      <c r="E116">
        <v>0</v>
      </c>
      <c r="F116" s="12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3</v>
      </c>
      <c r="P116">
        <v>0</v>
      </c>
      <c r="Q116">
        <v>0</v>
      </c>
      <c r="R116">
        <v>0</v>
      </c>
      <c r="S116">
        <v>183</v>
      </c>
      <c r="T116">
        <v>4</v>
      </c>
    </row>
    <row r="117" spans="1:20" ht="14.75" x14ac:dyDescent="0.75">
      <c r="A117" s="6">
        <v>45799</v>
      </c>
      <c r="B117" s="6" t="str">
        <f t="shared" si="3"/>
        <v>S21_2025</v>
      </c>
      <c r="C117" s="15">
        <f t="shared" si="4"/>
        <v>130</v>
      </c>
      <c r="D117" s="12">
        <v>0</v>
      </c>
      <c r="E117">
        <v>0</v>
      </c>
      <c r="F117" s="12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130</v>
      </c>
      <c r="T117">
        <v>2</v>
      </c>
    </row>
    <row r="118" spans="1:20" ht="14.75" x14ac:dyDescent="0.75">
      <c r="A118" s="6">
        <v>45800</v>
      </c>
      <c r="B118" s="6" t="str">
        <f t="shared" si="3"/>
        <v>S21_2025</v>
      </c>
      <c r="C118" s="15">
        <f t="shared" si="4"/>
        <v>199</v>
      </c>
      <c r="D118" s="12">
        <v>0</v>
      </c>
      <c r="E118">
        <v>0</v>
      </c>
      <c r="F118" s="12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2</v>
      </c>
      <c r="N118">
        <v>3</v>
      </c>
      <c r="O118">
        <v>1</v>
      </c>
      <c r="P118">
        <v>0</v>
      </c>
      <c r="Q118">
        <v>0</v>
      </c>
      <c r="R118">
        <v>0</v>
      </c>
      <c r="S118">
        <v>194</v>
      </c>
      <c r="T118">
        <v>7</v>
      </c>
    </row>
    <row r="119" spans="1:20" ht="14.75" x14ac:dyDescent="0.75">
      <c r="A119" s="6">
        <v>45801</v>
      </c>
      <c r="B119" s="6" t="str">
        <f t="shared" si="3"/>
        <v>S21_2025</v>
      </c>
      <c r="C119" s="15">
        <f t="shared" si="4"/>
        <v>111</v>
      </c>
      <c r="D119" s="12">
        <v>0</v>
      </c>
      <c r="E119">
        <v>0</v>
      </c>
      <c r="F119" s="12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107</v>
      </c>
      <c r="T119">
        <v>5</v>
      </c>
    </row>
    <row r="120" spans="1:20" ht="14.75" x14ac:dyDescent="0.75">
      <c r="A120" s="6">
        <v>45802</v>
      </c>
      <c r="B120" s="6" t="str">
        <f t="shared" si="3"/>
        <v>S21_2025</v>
      </c>
      <c r="C120" s="15">
        <f t="shared" si="4"/>
        <v>122</v>
      </c>
      <c r="D120" s="12">
        <v>0</v>
      </c>
      <c r="E120">
        <v>0</v>
      </c>
      <c r="F120" s="12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3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119</v>
      </c>
      <c r="T120">
        <v>1</v>
      </c>
    </row>
    <row r="121" spans="1:20" ht="14.75" x14ac:dyDescent="0.75">
      <c r="A121" s="6">
        <v>45803</v>
      </c>
      <c r="B121" s="6" t="str">
        <f t="shared" si="3"/>
        <v>S22_2025</v>
      </c>
      <c r="C121" s="15">
        <f t="shared" si="4"/>
        <v>130</v>
      </c>
      <c r="D121" s="12">
        <v>0</v>
      </c>
      <c r="E121">
        <v>0</v>
      </c>
      <c r="F121" s="12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130</v>
      </c>
      <c r="T121">
        <v>9</v>
      </c>
    </row>
    <row r="122" spans="1:20" ht="14.75" x14ac:dyDescent="0.75">
      <c r="A122" s="6">
        <v>45804</v>
      </c>
      <c r="B122" s="6" t="str">
        <f t="shared" si="3"/>
        <v>S22_2025</v>
      </c>
      <c r="C122" s="15">
        <f t="shared" si="4"/>
        <v>245</v>
      </c>
      <c r="D122" s="12">
        <v>0</v>
      </c>
      <c r="E122">
        <v>0</v>
      </c>
      <c r="F122" s="1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245</v>
      </c>
      <c r="T122">
        <v>2</v>
      </c>
    </row>
    <row r="123" spans="1:20" ht="14.75" x14ac:dyDescent="0.75">
      <c r="A123" s="6">
        <v>45805</v>
      </c>
      <c r="B123" s="6" t="str">
        <f t="shared" si="3"/>
        <v>S22_2025</v>
      </c>
      <c r="C123" s="15">
        <f t="shared" si="4"/>
        <v>187</v>
      </c>
      <c r="D123" s="12">
        <v>0</v>
      </c>
      <c r="E123">
        <v>0</v>
      </c>
      <c r="F123" s="12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187</v>
      </c>
      <c r="T123">
        <v>0</v>
      </c>
    </row>
    <row r="124" spans="1:20" ht="14.75" x14ac:dyDescent="0.75">
      <c r="A124" s="6">
        <v>45806</v>
      </c>
      <c r="B124" s="6" t="str">
        <f t="shared" si="3"/>
        <v>S22_2025</v>
      </c>
      <c r="C124" s="15">
        <f t="shared" si="4"/>
        <v>69</v>
      </c>
      <c r="D124" s="12">
        <v>0</v>
      </c>
      <c r="E124">
        <v>0</v>
      </c>
      <c r="F124" s="12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68</v>
      </c>
      <c r="T124">
        <v>18</v>
      </c>
    </row>
    <row r="125" spans="1:20" ht="14.75" x14ac:dyDescent="0.75">
      <c r="A125" s="6">
        <v>45807</v>
      </c>
      <c r="B125" s="6" t="str">
        <f t="shared" si="3"/>
        <v>S22_2025</v>
      </c>
      <c r="C125" s="15">
        <f t="shared" si="4"/>
        <v>98</v>
      </c>
      <c r="D125" s="12">
        <v>0</v>
      </c>
      <c r="E125">
        <v>0</v>
      </c>
      <c r="F125" s="12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98</v>
      </c>
      <c r="T125">
        <v>4</v>
      </c>
    </row>
    <row r="126" spans="1:20" ht="14.75" x14ac:dyDescent="0.75">
      <c r="A126" s="6">
        <v>45808</v>
      </c>
      <c r="B126" s="6" t="str">
        <f t="shared" si="3"/>
        <v>S22_2025</v>
      </c>
      <c r="C126" s="15">
        <f t="shared" si="4"/>
        <v>179</v>
      </c>
      <c r="D126" s="12">
        <v>0</v>
      </c>
      <c r="E126">
        <v>3</v>
      </c>
      <c r="F126" s="12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174</v>
      </c>
      <c r="T126">
        <v>6</v>
      </c>
    </row>
    <row r="127" spans="1:20" ht="14.75" x14ac:dyDescent="0.75">
      <c r="A127" s="9">
        <v>45809</v>
      </c>
      <c r="B127" s="9" t="str">
        <f t="shared" si="3"/>
        <v>S22_2025</v>
      </c>
      <c r="C127" s="15">
        <f t="shared" si="4"/>
        <v>152</v>
      </c>
      <c r="D127" s="13">
        <v>0</v>
      </c>
      <c r="E127" s="2">
        <v>4</v>
      </c>
      <c r="F127" s="13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2</v>
      </c>
      <c r="P127" s="2">
        <v>0</v>
      </c>
      <c r="Q127" s="2">
        <v>0</v>
      </c>
      <c r="R127" s="2">
        <v>0</v>
      </c>
      <c r="S127" s="2">
        <v>145</v>
      </c>
      <c r="T127" s="2">
        <v>5</v>
      </c>
    </row>
    <row r="128" spans="1:20" ht="14.75" x14ac:dyDescent="0.75">
      <c r="A128" s="9">
        <v>45810</v>
      </c>
      <c r="B128" s="9" t="str">
        <f t="shared" si="3"/>
        <v>S23_2025</v>
      </c>
      <c r="C128" s="15">
        <f t="shared" si="4"/>
        <v>200</v>
      </c>
      <c r="D128" s="13">
        <v>0</v>
      </c>
      <c r="E128" s="2">
        <v>0</v>
      </c>
      <c r="F128" s="13">
        <v>0</v>
      </c>
      <c r="G128" s="2">
        <v>0</v>
      </c>
      <c r="H128" s="2">
        <v>6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4</v>
      </c>
      <c r="P128" s="2">
        <v>0</v>
      </c>
      <c r="Q128" s="2">
        <v>0</v>
      </c>
      <c r="R128" s="2">
        <v>0</v>
      </c>
      <c r="S128" s="2">
        <v>195</v>
      </c>
      <c r="T128" s="2">
        <v>8</v>
      </c>
    </row>
    <row r="129" spans="1:20" ht="14.75" x14ac:dyDescent="0.75">
      <c r="A129" s="9">
        <v>45811</v>
      </c>
      <c r="B129" s="9" t="str">
        <f t="shared" si="3"/>
        <v>S23_2025</v>
      </c>
      <c r="C129" s="15">
        <f t="shared" si="4"/>
        <v>124</v>
      </c>
      <c r="D129" s="13">
        <v>0</v>
      </c>
      <c r="E129" s="2">
        <v>3</v>
      </c>
      <c r="F129" s="13">
        <v>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</v>
      </c>
      <c r="N129" s="2">
        <v>0</v>
      </c>
      <c r="O129" s="2">
        <v>5</v>
      </c>
      <c r="P129" s="2">
        <v>0</v>
      </c>
      <c r="Q129" s="2">
        <v>0</v>
      </c>
      <c r="R129" s="2">
        <v>0</v>
      </c>
      <c r="S129" s="2">
        <v>114</v>
      </c>
      <c r="T129" s="2">
        <v>5</v>
      </c>
    </row>
    <row r="130" spans="1:20" ht="14.75" x14ac:dyDescent="0.75">
      <c r="A130" s="9">
        <v>45812</v>
      </c>
      <c r="B130" s="9" t="str">
        <f t="shared" ref="B130:B193" si="5">CONCATENATE("S",_xlfn.ISOWEEKNUM(A130),"_",IF(AND(MONTH(A130)=12,_xlfn.ISOWEEKNUM(A130)=1),YEAR(A130)+1,IF(AND(MONTH(A130)=1,_xlfn.ISOWEEKNUM(A130)&gt;50),YEAR(A130)-1,YEAR(A130))))</f>
        <v>S23_2025</v>
      </c>
      <c r="C130" s="15">
        <f t="shared" si="4"/>
        <v>174</v>
      </c>
      <c r="D130" s="13">
        <v>0</v>
      </c>
      <c r="E130" s="2">
        <v>0</v>
      </c>
      <c r="F130" s="13">
        <v>0</v>
      </c>
      <c r="G130" s="2">
        <v>2</v>
      </c>
      <c r="H130" s="2">
        <v>0</v>
      </c>
      <c r="I130" s="2">
        <v>7</v>
      </c>
      <c r="J130" s="2">
        <v>0</v>
      </c>
      <c r="K130" s="2">
        <v>1</v>
      </c>
      <c r="L130" s="2">
        <v>0</v>
      </c>
      <c r="M130" s="2">
        <v>0</v>
      </c>
      <c r="N130" s="2">
        <v>1</v>
      </c>
      <c r="O130" s="2">
        <v>3</v>
      </c>
      <c r="P130" s="2">
        <v>0</v>
      </c>
      <c r="Q130" s="2">
        <v>0</v>
      </c>
      <c r="R130" s="2">
        <v>0</v>
      </c>
      <c r="S130" s="2">
        <v>161</v>
      </c>
      <c r="T130" s="2">
        <v>4</v>
      </c>
    </row>
    <row r="131" spans="1:20" ht="14.75" x14ac:dyDescent="0.75">
      <c r="A131" s="9">
        <v>45813</v>
      </c>
      <c r="B131" s="9" t="str">
        <f t="shared" si="5"/>
        <v>S23_2025</v>
      </c>
      <c r="C131" s="15">
        <f t="shared" si="4"/>
        <v>140</v>
      </c>
      <c r="D131" s="13">
        <v>0</v>
      </c>
      <c r="E131" s="2">
        <v>0</v>
      </c>
      <c r="F131" s="13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140</v>
      </c>
      <c r="T131" s="2">
        <v>10</v>
      </c>
    </row>
    <row r="132" spans="1:20" ht="14.75" x14ac:dyDescent="0.75">
      <c r="A132" s="9">
        <v>45814</v>
      </c>
      <c r="B132" s="9" t="str">
        <f t="shared" si="5"/>
        <v>S23_2025</v>
      </c>
      <c r="C132" s="15">
        <f t="shared" si="4"/>
        <v>160</v>
      </c>
      <c r="D132" s="13">
        <v>1</v>
      </c>
      <c r="E132" s="2">
        <v>0</v>
      </c>
      <c r="F132" s="13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160</v>
      </c>
      <c r="T132" s="2">
        <v>3</v>
      </c>
    </row>
    <row r="133" spans="1:20" ht="14.75" x14ac:dyDescent="0.75">
      <c r="A133" s="9">
        <v>45815</v>
      </c>
      <c r="B133" s="9" t="str">
        <f t="shared" si="5"/>
        <v>S23_2025</v>
      </c>
      <c r="C133" s="15">
        <f t="shared" si="4"/>
        <v>180</v>
      </c>
      <c r="D133" s="13">
        <v>0</v>
      </c>
      <c r="E133" s="2">
        <v>0</v>
      </c>
      <c r="F133" s="13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180</v>
      </c>
      <c r="T133" s="2">
        <v>8</v>
      </c>
    </row>
    <row r="134" spans="1:20" ht="14.75" x14ac:dyDescent="0.75">
      <c r="A134" s="9">
        <v>45816</v>
      </c>
      <c r="B134" s="9" t="str">
        <f t="shared" si="5"/>
        <v>S23_2025</v>
      </c>
      <c r="C134" s="15">
        <f t="shared" si="4"/>
        <v>119</v>
      </c>
      <c r="D134" s="13">
        <v>0</v>
      </c>
      <c r="E134" s="2">
        <v>0</v>
      </c>
      <c r="F134" s="13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119</v>
      </c>
      <c r="T134" s="2">
        <v>9</v>
      </c>
    </row>
    <row r="135" spans="1:20" ht="14.75" x14ac:dyDescent="0.75">
      <c r="A135" s="9">
        <v>45817</v>
      </c>
      <c r="B135" s="9" t="str">
        <f t="shared" si="5"/>
        <v>S24_2025</v>
      </c>
      <c r="C135" s="15">
        <f t="shared" si="4"/>
        <v>118</v>
      </c>
      <c r="D135" s="13">
        <v>1</v>
      </c>
      <c r="E135" s="2">
        <v>0</v>
      </c>
      <c r="F135" s="13">
        <v>0</v>
      </c>
      <c r="G135" s="2">
        <v>0</v>
      </c>
      <c r="H135" s="2">
        <v>0</v>
      </c>
      <c r="I135" s="2">
        <v>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110</v>
      </c>
      <c r="T135" s="2">
        <v>10</v>
      </c>
    </row>
    <row r="136" spans="1:20" ht="14.75" x14ac:dyDescent="0.75">
      <c r="A136" s="9">
        <v>45818</v>
      </c>
      <c r="B136" s="9" t="str">
        <f t="shared" si="5"/>
        <v>S24_2025</v>
      </c>
      <c r="C136" s="15">
        <f t="shared" si="4"/>
        <v>134</v>
      </c>
      <c r="D136" s="13">
        <v>0</v>
      </c>
      <c r="E136" s="2">
        <v>0</v>
      </c>
      <c r="F136" s="13">
        <v>0</v>
      </c>
      <c r="G136" s="2">
        <v>0</v>
      </c>
      <c r="H136" s="2">
        <v>0</v>
      </c>
      <c r="I136" s="2">
        <v>9</v>
      </c>
      <c r="J136" s="2">
        <v>0</v>
      </c>
      <c r="K136" s="2">
        <v>5</v>
      </c>
      <c r="L136" s="2">
        <v>0</v>
      </c>
      <c r="M136" s="2">
        <v>0</v>
      </c>
      <c r="N136" s="2">
        <v>5</v>
      </c>
      <c r="O136" s="2">
        <v>0</v>
      </c>
      <c r="P136" s="2">
        <v>0</v>
      </c>
      <c r="Q136" s="2">
        <v>0</v>
      </c>
      <c r="R136" s="2">
        <v>0</v>
      </c>
      <c r="S136" s="2">
        <v>120</v>
      </c>
      <c r="T136" s="2">
        <v>10</v>
      </c>
    </row>
    <row r="137" spans="1:20" ht="14.75" x14ac:dyDescent="0.75">
      <c r="A137" s="9">
        <v>45819</v>
      </c>
      <c r="B137" s="9" t="str">
        <f t="shared" si="5"/>
        <v>S24_2025</v>
      </c>
      <c r="C137" s="15">
        <f t="shared" si="4"/>
        <v>188</v>
      </c>
      <c r="D137" s="13">
        <v>2</v>
      </c>
      <c r="E137" s="2">
        <v>0</v>
      </c>
      <c r="F137" s="13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</v>
      </c>
      <c r="M137" s="2">
        <v>0</v>
      </c>
      <c r="N137" s="2">
        <v>3</v>
      </c>
      <c r="O137" s="2">
        <v>0</v>
      </c>
      <c r="P137" s="2">
        <v>0</v>
      </c>
      <c r="Q137" s="2">
        <v>0</v>
      </c>
      <c r="R137" s="2">
        <v>0</v>
      </c>
      <c r="S137" s="2">
        <v>188</v>
      </c>
      <c r="T137" s="2">
        <v>8</v>
      </c>
    </row>
    <row r="138" spans="1:20" ht="14.75" x14ac:dyDescent="0.75">
      <c r="A138" s="9">
        <v>45820</v>
      </c>
      <c r="B138" s="9" t="str">
        <f t="shared" si="5"/>
        <v>S24_2025</v>
      </c>
      <c r="C138" s="15">
        <f t="shared" si="4"/>
        <v>112</v>
      </c>
      <c r="D138" s="13">
        <v>1</v>
      </c>
      <c r="E138" s="2">
        <v>0</v>
      </c>
      <c r="F138" s="13">
        <v>1</v>
      </c>
      <c r="G138" s="2">
        <v>0</v>
      </c>
      <c r="H138" s="2">
        <v>0</v>
      </c>
      <c r="I138" s="2">
        <v>1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110</v>
      </c>
      <c r="T138" s="2">
        <v>10</v>
      </c>
    </row>
    <row r="139" spans="1:20" ht="14.75" x14ac:dyDescent="0.75">
      <c r="A139" s="9">
        <v>45821</v>
      </c>
      <c r="B139" s="9" t="str">
        <f t="shared" si="5"/>
        <v>S24_2025</v>
      </c>
      <c r="C139" s="15">
        <f t="shared" si="4"/>
        <v>154</v>
      </c>
      <c r="D139" s="13">
        <v>0</v>
      </c>
      <c r="E139" s="2">
        <v>0</v>
      </c>
      <c r="F139" s="13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154</v>
      </c>
      <c r="T139" s="2">
        <v>15</v>
      </c>
    </row>
    <row r="140" spans="1:20" ht="14.75" x14ac:dyDescent="0.75">
      <c r="A140" s="9">
        <v>45822</v>
      </c>
      <c r="B140" s="9" t="str">
        <f t="shared" si="5"/>
        <v>S24_2025</v>
      </c>
      <c r="C140" s="15">
        <f t="shared" si="4"/>
        <v>121</v>
      </c>
      <c r="D140" s="13">
        <v>0</v>
      </c>
      <c r="E140" s="2">
        <v>0</v>
      </c>
      <c r="F140" s="13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121</v>
      </c>
      <c r="T140" s="2">
        <v>25</v>
      </c>
    </row>
    <row r="141" spans="1:20" ht="14.75" x14ac:dyDescent="0.75">
      <c r="A141" s="9">
        <v>45823</v>
      </c>
      <c r="B141" s="9" t="str">
        <f t="shared" si="5"/>
        <v>S24_2025</v>
      </c>
      <c r="C141" s="15">
        <f t="shared" si="4"/>
        <v>132</v>
      </c>
      <c r="D141" s="13">
        <v>0</v>
      </c>
      <c r="E141" s="2">
        <v>0</v>
      </c>
      <c r="F141" s="13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132</v>
      </c>
      <c r="T141" s="2">
        <v>28</v>
      </c>
    </row>
    <row r="142" spans="1:20" ht="14.75" x14ac:dyDescent="0.75">
      <c r="A142" s="9">
        <v>45824</v>
      </c>
      <c r="B142" s="9" t="str">
        <f t="shared" si="5"/>
        <v>S25_2025</v>
      </c>
      <c r="C142" s="15">
        <f t="shared" si="4"/>
        <v>122</v>
      </c>
      <c r="D142" s="13">
        <v>0</v>
      </c>
      <c r="E142" s="2">
        <v>0</v>
      </c>
      <c r="F142" s="13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122</v>
      </c>
      <c r="T142" s="2">
        <v>41</v>
      </c>
    </row>
    <row r="143" spans="1:20" ht="14.75" x14ac:dyDescent="0.75">
      <c r="A143" s="9">
        <v>45825</v>
      </c>
      <c r="B143" s="9" t="str">
        <f t="shared" si="5"/>
        <v>S25_2025</v>
      </c>
      <c r="C143" s="15">
        <f t="shared" si="4"/>
        <v>103</v>
      </c>
      <c r="D143" s="13">
        <v>0</v>
      </c>
      <c r="E143" s="2">
        <v>0</v>
      </c>
      <c r="F143" s="13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103</v>
      </c>
      <c r="T143" s="2">
        <v>12</v>
      </c>
    </row>
    <row r="144" spans="1:20" ht="14.75" x14ac:dyDescent="0.75">
      <c r="A144" s="9">
        <v>45826</v>
      </c>
      <c r="B144" s="9" t="str">
        <f t="shared" si="5"/>
        <v>S25_2025</v>
      </c>
      <c r="C144" s="15">
        <f t="shared" si="4"/>
        <v>112</v>
      </c>
      <c r="D144" s="13">
        <v>0</v>
      </c>
      <c r="E144" s="2">
        <v>0</v>
      </c>
      <c r="F144" s="13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111</v>
      </c>
      <c r="T144" s="2">
        <v>18</v>
      </c>
    </row>
    <row r="145" spans="1:20" ht="14.75" x14ac:dyDescent="0.75">
      <c r="A145" s="9">
        <v>45827</v>
      </c>
      <c r="B145" s="9" t="str">
        <f t="shared" si="5"/>
        <v>S25_2025</v>
      </c>
      <c r="C145" s="15">
        <f t="shared" si="4"/>
        <v>142</v>
      </c>
      <c r="D145" s="13">
        <v>0</v>
      </c>
      <c r="E145" s="2">
        <v>0</v>
      </c>
      <c r="F145" s="13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142</v>
      </c>
      <c r="T145" s="2">
        <v>7</v>
      </c>
    </row>
    <row r="146" spans="1:20" ht="14.75" x14ac:dyDescent="0.75">
      <c r="A146" s="9">
        <v>45828</v>
      </c>
      <c r="B146" s="9" t="str">
        <f t="shared" si="5"/>
        <v>S25_2025</v>
      </c>
      <c r="C146" s="15">
        <f t="shared" si="4"/>
        <v>157</v>
      </c>
      <c r="D146" s="13">
        <v>0</v>
      </c>
      <c r="E146" s="2">
        <v>0</v>
      </c>
      <c r="F146" s="13">
        <v>0</v>
      </c>
      <c r="G146" s="2">
        <v>0</v>
      </c>
      <c r="H146" s="2">
        <v>3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157</v>
      </c>
      <c r="T146" s="2">
        <v>24</v>
      </c>
    </row>
    <row r="147" spans="1:20" ht="14.75" x14ac:dyDescent="0.75">
      <c r="A147" s="9">
        <v>45829</v>
      </c>
      <c r="B147" s="9" t="str">
        <f t="shared" si="5"/>
        <v>S25_2025</v>
      </c>
      <c r="C147" s="15">
        <f t="shared" ref="C147:C210" si="6">E147+G147+I147+K147+M147+O147+Q147+S147+U147+W147+Y147+AA147+AC147+AE147+AG147+AI147+AK147</f>
        <v>135</v>
      </c>
      <c r="D147" s="13">
        <v>0</v>
      </c>
      <c r="E147" s="2">
        <v>0</v>
      </c>
      <c r="F147" s="13">
        <v>0</v>
      </c>
      <c r="G147" s="2">
        <v>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134</v>
      </c>
      <c r="T147" s="2">
        <v>4</v>
      </c>
    </row>
    <row r="148" spans="1:20" ht="14.75" x14ac:dyDescent="0.75">
      <c r="A148" s="9">
        <v>45830</v>
      </c>
      <c r="B148" s="9" t="str">
        <f t="shared" si="5"/>
        <v>S25_2025</v>
      </c>
      <c r="C148" s="15">
        <f t="shared" si="6"/>
        <v>80</v>
      </c>
      <c r="D148" s="13">
        <v>0</v>
      </c>
      <c r="E148" s="2">
        <v>0</v>
      </c>
      <c r="F148" s="13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80</v>
      </c>
      <c r="T148" s="2">
        <v>1</v>
      </c>
    </row>
    <row r="149" spans="1:20" ht="14.75" x14ac:dyDescent="0.75">
      <c r="A149" s="9">
        <v>45831</v>
      </c>
      <c r="B149" s="9" t="str">
        <f t="shared" si="5"/>
        <v>S26_2025</v>
      </c>
      <c r="C149" s="15">
        <f t="shared" si="6"/>
        <v>72</v>
      </c>
      <c r="D149" s="13">
        <v>0</v>
      </c>
      <c r="E149" s="2">
        <v>0</v>
      </c>
      <c r="F149" s="13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72</v>
      </c>
      <c r="T149" s="2">
        <v>0</v>
      </c>
    </row>
    <row r="150" spans="1:20" ht="14.75" x14ac:dyDescent="0.75">
      <c r="A150" s="9">
        <v>45832</v>
      </c>
      <c r="B150" s="9" t="str">
        <f t="shared" si="5"/>
        <v>S26_2025</v>
      </c>
      <c r="C150" s="15">
        <f t="shared" si="6"/>
        <v>106</v>
      </c>
      <c r="D150" s="13">
        <v>0</v>
      </c>
      <c r="E150" s="2">
        <v>0</v>
      </c>
      <c r="F150" s="13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106</v>
      </c>
      <c r="T150" s="2">
        <v>0</v>
      </c>
    </row>
    <row r="151" spans="1:20" ht="14.75" x14ac:dyDescent="0.75">
      <c r="A151" s="9">
        <v>45833</v>
      </c>
      <c r="B151" s="9" t="str">
        <f t="shared" si="5"/>
        <v>S26_2025</v>
      </c>
      <c r="C151" s="15">
        <f t="shared" si="6"/>
        <v>241</v>
      </c>
      <c r="D151" s="13">
        <v>0</v>
      </c>
      <c r="E151" s="2">
        <v>0</v>
      </c>
      <c r="F151" s="13">
        <v>0</v>
      </c>
      <c r="G151" s="2">
        <v>0</v>
      </c>
      <c r="H151" s="2">
        <v>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241</v>
      </c>
      <c r="T151" s="2">
        <v>11</v>
      </c>
    </row>
    <row r="152" spans="1:20" ht="14.75" x14ac:dyDescent="0.75">
      <c r="A152" s="9">
        <v>45834</v>
      </c>
      <c r="B152" s="9" t="str">
        <f t="shared" si="5"/>
        <v>S26_2025</v>
      </c>
      <c r="C152" s="15">
        <f t="shared" si="6"/>
        <v>153</v>
      </c>
      <c r="D152" s="13">
        <v>0</v>
      </c>
      <c r="E152" s="2">
        <v>3</v>
      </c>
      <c r="F152" s="13"/>
      <c r="G152" s="2"/>
      <c r="H152" s="2"/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150</v>
      </c>
      <c r="T152" s="2">
        <v>0</v>
      </c>
    </row>
    <row r="153" spans="1:20" ht="14.75" x14ac:dyDescent="0.75">
      <c r="A153" s="9">
        <v>45835</v>
      </c>
      <c r="B153" s="9" t="str">
        <f t="shared" si="5"/>
        <v>S26_2025</v>
      </c>
      <c r="C153" s="15">
        <f t="shared" si="6"/>
        <v>110</v>
      </c>
      <c r="D153" s="13">
        <v>0</v>
      </c>
      <c r="E153" s="2">
        <v>0</v>
      </c>
      <c r="F153" s="13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110</v>
      </c>
      <c r="T153" s="2">
        <v>8</v>
      </c>
    </row>
    <row r="154" spans="1:20" ht="14.75" x14ac:dyDescent="0.75">
      <c r="A154" s="9">
        <v>45836</v>
      </c>
      <c r="B154" s="9" t="str">
        <f t="shared" si="5"/>
        <v>S26_2025</v>
      </c>
      <c r="C154" s="15">
        <f t="shared" si="6"/>
        <v>109</v>
      </c>
      <c r="D154" s="13">
        <v>0</v>
      </c>
      <c r="E154" s="2">
        <v>4</v>
      </c>
      <c r="F154" s="13">
        <v>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105</v>
      </c>
      <c r="T154" s="2">
        <v>5</v>
      </c>
    </row>
    <row r="155" spans="1:20" ht="14.75" x14ac:dyDescent="0.75">
      <c r="A155" s="9">
        <v>45837</v>
      </c>
      <c r="B155" s="9" t="str">
        <f t="shared" si="5"/>
        <v>S26_2025</v>
      </c>
      <c r="C155" s="15">
        <f t="shared" si="6"/>
        <v>146</v>
      </c>
      <c r="D155" s="13">
        <v>0</v>
      </c>
      <c r="E155" s="2">
        <v>4</v>
      </c>
      <c r="F155" s="13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2</v>
      </c>
      <c r="N155" s="2">
        <v>2</v>
      </c>
      <c r="O155" s="2">
        <v>3</v>
      </c>
      <c r="P155" s="2">
        <v>0</v>
      </c>
      <c r="Q155" s="2">
        <v>0</v>
      </c>
      <c r="R155" s="2">
        <v>0</v>
      </c>
      <c r="S155" s="2">
        <v>137</v>
      </c>
      <c r="T155" s="2">
        <v>3</v>
      </c>
    </row>
    <row r="156" spans="1:20" ht="14.75" x14ac:dyDescent="0.75">
      <c r="A156" s="9">
        <v>45838</v>
      </c>
      <c r="B156" s="9" t="str">
        <f t="shared" si="5"/>
        <v>S27_2025</v>
      </c>
      <c r="C156" s="15">
        <f t="shared" si="6"/>
        <v>115</v>
      </c>
      <c r="D156" s="13">
        <v>0</v>
      </c>
      <c r="E156" s="2">
        <v>2</v>
      </c>
      <c r="F156" s="13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112</v>
      </c>
      <c r="T156" s="2">
        <v>4</v>
      </c>
    </row>
    <row r="157" spans="1:20" ht="14.75" x14ac:dyDescent="0.75">
      <c r="A157" s="6">
        <v>45839</v>
      </c>
      <c r="B157" s="6" t="str">
        <f t="shared" si="5"/>
        <v>S27_2025</v>
      </c>
      <c r="C157" s="15">
        <f t="shared" si="6"/>
        <v>165</v>
      </c>
      <c r="D157" s="12">
        <v>0</v>
      </c>
      <c r="E157">
        <v>0</v>
      </c>
      <c r="F157" s="12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165</v>
      </c>
      <c r="T157">
        <v>10</v>
      </c>
    </row>
    <row r="158" spans="1:20" ht="14.75" x14ac:dyDescent="0.75">
      <c r="A158" s="6">
        <v>45840</v>
      </c>
      <c r="B158" s="6" t="str">
        <f t="shared" si="5"/>
        <v>S27_2025</v>
      </c>
      <c r="C158" s="15">
        <f t="shared" si="6"/>
        <v>134</v>
      </c>
      <c r="D158" s="12">
        <v>0</v>
      </c>
      <c r="E158">
        <v>0</v>
      </c>
      <c r="F158" s="12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134</v>
      </c>
      <c r="T158">
        <v>6</v>
      </c>
    </row>
    <row r="159" spans="1:20" ht="14.75" x14ac:dyDescent="0.75">
      <c r="A159" s="6">
        <v>45841</v>
      </c>
      <c r="B159" s="6" t="str">
        <f t="shared" si="5"/>
        <v>S27_2025</v>
      </c>
      <c r="C159" s="15">
        <f t="shared" si="6"/>
        <v>241</v>
      </c>
      <c r="D159" s="12">
        <v>0</v>
      </c>
      <c r="E159">
        <v>0</v>
      </c>
      <c r="F159" s="12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240</v>
      </c>
      <c r="T159">
        <v>7</v>
      </c>
    </row>
    <row r="160" spans="1:20" ht="14.75" x14ac:dyDescent="0.75">
      <c r="A160" s="6">
        <v>45842</v>
      </c>
      <c r="B160" s="6" t="str">
        <f t="shared" si="5"/>
        <v>S27_2025</v>
      </c>
      <c r="C160" s="15">
        <f t="shared" si="6"/>
        <v>148</v>
      </c>
      <c r="D160" s="12">
        <v>0</v>
      </c>
      <c r="E160">
        <v>0</v>
      </c>
      <c r="F160" s="12">
        <v>0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148</v>
      </c>
      <c r="T160">
        <v>30</v>
      </c>
    </row>
    <row r="161" spans="1:20" ht="14.75" x14ac:dyDescent="0.75">
      <c r="A161" s="6">
        <v>45843</v>
      </c>
      <c r="B161" s="6" t="str">
        <f t="shared" si="5"/>
        <v>S27_2025</v>
      </c>
      <c r="C161" s="15">
        <f t="shared" si="6"/>
        <v>185</v>
      </c>
      <c r="D161" s="12">
        <v>0</v>
      </c>
      <c r="E161">
        <v>0</v>
      </c>
      <c r="F161" s="12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183</v>
      </c>
      <c r="T161">
        <v>5</v>
      </c>
    </row>
    <row r="162" spans="1:20" ht="14.75" x14ac:dyDescent="0.75">
      <c r="A162" s="6">
        <v>45844</v>
      </c>
      <c r="B162" s="6" t="str">
        <f t="shared" si="5"/>
        <v>S27_2025</v>
      </c>
      <c r="C162" s="15">
        <f t="shared" si="6"/>
        <v>85</v>
      </c>
      <c r="D162" s="12">
        <v>0</v>
      </c>
      <c r="E162">
        <v>0</v>
      </c>
      <c r="F162" s="1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85</v>
      </c>
      <c r="T162">
        <v>4</v>
      </c>
    </row>
    <row r="163" spans="1:20" ht="14.75" x14ac:dyDescent="0.75">
      <c r="A163" s="6">
        <v>45845</v>
      </c>
      <c r="B163" s="6" t="str">
        <f t="shared" si="5"/>
        <v>S28_2025</v>
      </c>
      <c r="C163" s="15">
        <f t="shared" si="6"/>
        <v>96</v>
      </c>
      <c r="D163" s="12">
        <v>0</v>
      </c>
      <c r="E163">
        <v>0</v>
      </c>
      <c r="F163" s="12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0</v>
      </c>
      <c r="R163">
        <v>0</v>
      </c>
      <c r="S163">
        <v>91</v>
      </c>
      <c r="T163">
        <v>13</v>
      </c>
    </row>
    <row r="164" spans="1:20" ht="14.75" x14ac:dyDescent="0.75">
      <c r="A164" s="6">
        <v>45846</v>
      </c>
      <c r="B164" s="6" t="str">
        <f t="shared" si="5"/>
        <v>S28_2025</v>
      </c>
      <c r="C164" s="15">
        <f t="shared" si="6"/>
        <v>204</v>
      </c>
      <c r="D164" s="12">
        <v>0</v>
      </c>
      <c r="E164">
        <v>0</v>
      </c>
      <c r="F164" s="12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203</v>
      </c>
      <c r="T164">
        <v>7</v>
      </c>
    </row>
    <row r="165" spans="1:20" ht="14.75" x14ac:dyDescent="0.75">
      <c r="A165" s="6">
        <v>45847</v>
      </c>
      <c r="B165" s="6" t="str">
        <f t="shared" si="5"/>
        <v>S28_2025</v>
      </c>
      <c r="C165" s="15">
        <f t="shared" si="6"/>
        <v>111</v>
      </c>
      <c r="D165" s="12">
        <v>0</v>
      </c>
      <c r="E165">
        <v>0</v>
      </c>
      <c r="F165" s="12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110</v>
      </c>
      <c r="T165">
        <v>7</v>
      </c>
    </row>
    <row r="166" spans="1:20" ht="14.75" x14ac:dyDescent="0.75">
      <c r="A166" s="6">
        <v>45848</v>
      </c>
      <c r="B166" s="6" t="str">
        <f t="shared" si="5"/>
        <v>S28_2025</v>
      </c>
      <c r="C166" s="15">
        <f t="shared" si="6"/>
        <v>116</v>
      </c>
      <c r="D166" s="12">
        <v>0</v>
      </c>
      <c r="E166">
        <v>0</v>
      </c>
      <c r="F166" s="12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115</v>
      </c>
      <c r="T166">
        <v>7</v>
      </c>
    </row>
    <row r="167" spans="1:20" ht="14.75" x14ac:dyDescent="0.75">
      <c r="A167" s="6">
        <v>45849</v>
      </c>
      <c r="B167" s="6" t="str">
        <f t="shared" si="5"/>
        <v>S28_2025</v>
      </c>
      <c r="C167" s="15">
        <f t="shared" si="6"/>
        <v>140</v>
      </c>
      <c r="D167" s="12">
        <v>0</v>
      </c>
      <c r="E167">
        <v>0</v>
      </c>
      <c r="F167" s="12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138</v>
      </c>
      <c r="T167">
        <v>8</v>
      </c>
    </row>
    <row r="168" spans="1:20" ht="14.75" x14ac:dyDescent="0.75">
      <c r="A168" s="6">
        <v>45850</v>
      </c>
      <c r="B168" s="6" t="str">
        <f t="shared" si="5"/>
        <v>S28_2025</v>
      </c>
      <c r="C168" s="15">
        <f t="shared" si="6"/>
        <v>73</v>
      </c>
      <c r="D168" s="12">
        <v>0</v>
      </c>
      <c r="E168">
        <v>0</v>
      </c>
      <c r="F168" s="12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71</v>
      </c>
      <c r="T168">
        <v>6</v>
      </c>
    </row>
    <row r="169" spans="1:20" ht="14.75" x14ac:dyDescent="0.75">
      <c r="A169" s="6">
        <v>45851</v>
      </c>
      <c r="B169" s="6" t="str">
        <f t="shared" si="5"/>
        <v>S28_2025</v>
      </c>
      <c r="C169" s="15">
        <f t="shared" si="6"/>
        <v>110</v>
      </c>
      <c r="D169" s="12">
        <v>0</v>
      </c>
      <c r="E169">
        <v>0</v>
      </c>
      <c r="F169" s="12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110</v>
      </c>
      <c r="T169">
        <v>5</v>
      </c>
    </row>
    <row r="170" spans="1:20" ht="14.75" x14ac:dyDescent="0.75">
      <c r="A170" s="6">
        <v>45852</v>
      </c>
      <c r="B170" s="6" t="str">
        <f t="shared" si="5"/>
        <v>S29_2025</v>
      </c>
      <c r="C170" s="15">
        <f t="shared" si="6"/>
        <v>109</v>
      </c>
      <c r="D170" s="12">
        <v>0</v>
      </c>
      <c r="E170">
        <v>0</v>
      </c>
      <c r="F170" s="12">
        <v>0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105</v>
      </c>
      <c r="T170">
        <v>3</v>
      </c>
    </row>
    <row r="171" spans="1:20" ht="14.75" x14ac:dyDescent="0.75">
      <c r="A171" s="6">
        <v>45853</v>
      </c>
      <c r="B171" s="6" t="str">
        <f t="shared" si="5"/>
        <v>S29_2025</v>
      </c>
      <c r="C171" s="15">
        <f t="shared" si="6"/>
        <v>216</v>
      </c>
      <c r="D171" s="12">
        <v>0</v>
      </c>
      <c r="E171">
        <v>1</v>
      </c>
      <c r="F171" s="12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2</v>
      </c>
      <c r="P171">
        <v>0</v>
      </c>
      <c r="Q171">
        <v>0</v>
      </c>
      <c r="R171">
        <v>0</v>
      </c>
      <c r="S171">
        <v>212</v>
      </c>
      <c r="T171">
        <v>12</v>
      </c>
    </row>
    <row r="172" spans="1:20" ht="14.75" x14ac:dyDescent="0.75">
      <c r="A172" s="6">
        <v>45854</v>
      </c>
      <c r="B172" s="6" t="str">
        <f t="shared" si="5"/>
        <v>S29_2025</v>
      </c>
      <c r="C172" s="15">
        <f t="shared" si="6"/>
        <v>94</v>
      </c>
      <c r="D172" s="12">
        <v>0</v>
      </c>
      <c r="E172">
        <v>0</v>
      </c>
      <c r="F172" s="1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94</v>
      </c>
      <c r="T172">
        <v>10</v>
      </c>
    </row>
    <row r="173" spans="1:20" ht="14.75" x14ac:dyDescent="0.75">
      <c r="A173" s="6">
        <v>45855</v>
      </c>
      <c r="B173" s="6" t="str">
        <f t="shared" si="5"/>
        <v>S29_2025</v>
      </c>
      <c r="C173" s="15">
        <f t="shared" si="6"/>
        <v>121</v>
      </c>
      <c r="D173" s="12">
        <v>0</v>
      </c>
      <c r="E173">
        <v>0</v>
      </c>
      <c r="F173" s="12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120</v>
      </c>
      <c r="T173">
        <v>5</v>
      </c>
    </row>
    <row r="174" spans="1:20" ht="14.75" x14ac:dyDescent="0.75">
      <c r="A174" s="6">
        <v>45856</v>
      </c>
      <c r="B174" s="6" t="str">
        <f t="shared" si="5"/>
        <v>S29_2025</v>
      </c>
      <c r="C174" s="15">
        <f t="shared" si="6"/>
        <v>178</v>
      </c>
      <c r="D174" s="12">
        <v>0</v>
      </c>
      <c r="E174">
        <v>0</v>
      </c>
      <c r="F174" s="12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176</v>
      </c>
      <c r="T174">
        <v>7</v>
      </c>
    </row>
    <row r="175" spans="1:20" ht="14.75" x14ac:dyDescent="0.75">
      <c r="A175" s="6">
        <v>45857</v>
      </c>
      <c r="B175" s="6" t="str">
        <f t="shared" si="5"/>
        <v>S29_2025</v>
      </c>
      <c r="C175" s="15">
        <f t="shared" si="6"/>
        <v>115</v>
      </c>
      <c r="D175" s="12">
        <v>0</v>
      </c>
      <c r="E175">
        <v>0</v>
      </c>
      <c r="F175" s="12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115</v>
      </c>
      <c r="T175">
        <v>5</v>
      </c>
    </row>
    <row r="176" spans="1:20" ht="14.75" x14ac:dyDescent="0.75">
      <c r="A176" s="6">
        <v>45858</v>
      </c>
      <c r="B176" s="6" t="str">
        <f t="shared" si="5"/>
        <v>S29_2025</v>
      </c>
      <c r="C176" s="15">
        <f t="shared" si="6"/>
        <v>127</v>
      </c>
      <c r="D176" s="12">
        <v>0</v>
      </c>
      <c r="E176">
        <v>0</v>
      </c>
      <c r="F176" s="12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127</v>
      </c>
      <c r="T176">
        <v>8</v>
      </c>
    </row>
    <row r="177" spans="1:20" ht="14.75" x14ac:dyDescent="0.75">
      <c r="A177" s="9">
        <v>45859</v>
      </c>
      <c r="B177" s="6" t="str">
        <f t="shared" si="5"/>
        <v>S30_2025</v>
      </c>
      <c r="C177" s="15">
        <f t="shared" si="6"/>
        <v>124</v>
      </c>
      <c r="D177" s="12">
        <v>0</v>
      </c>
      <c r="E177">
        <v>0</v>
      </c>
      <c r="F177" s="12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123</v>
      </c>
      <c r="T177">
        <v>0</v>
      </c>
    </row>
    <row r="178" spans="1:20" ht="14.75" x14ac:dyDescent="0.75">
      <c r="A178" s="9">
        <v>45860</v>
      </c>
      <c r="B178" s="6" t="str">
        <f t="shared" si="5"/>
        <v>S30_2025</v>
      </c>
      <c r="C178" s="15">
        <f t="shared" si="6"/>
        <v>177</v>
      </c>
      <c r="D178" s="12">
        <v>0</v>
      </c>
      <c r="E178">
        <v>0</v>
      </c>
      <c r="F178" s="12">
        <v>0</v>
      </c>
      <c r="G178">
        <v>0</v>
      </c>
      <c r="H178">
        <v>0</v>
      </c>
      <c r="I178">
        <v>1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173</v>
      </c>
      <c r="T178">
        <v>4</v>
      </c>
    </row>
    <row r="179" spans="1:20" ht="14.75" x14ac:dyDescent="0.75">
      <c r="A179" s="9">
        <v>45861</v>
      </c>
      <c r="B179" s="6" t="str">
        <f t="shared" si="5"/>
        <v>S30_2025</v>
      </c>
      <c r="C179" s="15">
        <f t="shared" si="6"/>
        <v>81</v>
      </c>
      <c r="D179" s="12">
        <v>0</v>
      </c>
      <c r="E179">
        <v>0</v>
      </c>
      <c r="F179" s="12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78</v>
      </c>
      <c r="T179">
        <v>7</v>
      </c>
    </row>
    <row r="180" spans="1:20" ht="14.75" x14ac:dyDescent="0.75">
      <c r="A180" s="9">
        <v>45862</v>
      </c>
      <c r="B180" s="6" t="str">
        <f t="shared" si="5"/>
        <v>S30_2025</v>
      </c>
      <c r="C180" s="15">
        <f t="shared" si="6"/>
        <v>75</v>
      </c>
      <c r="D180" s="12">
        <v>0</v>
      </c>
      <c r="E180">
        <v>0</v>
      </c>
      <c r="F180" s="12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74</v>
      </c>
      <c r="T180">
        <v>11</v>
      </c>
    </row>
    <row r="181" spans="1:20" ht="14.75" x14ac:dyDescent="0.75">
      <c r="A181" s="9">
        <v>45863</v>
      </c>
      <c r="B181" s="6" t="str">
        <f t="shared" si="5"/>
        <v>S30_2025</v>
      </c>
      <c r="C181" s="15">
        <f t="shared" si="6"/>
        <v>100</v>
      </c>
      <c r="D181" s="12">
        <v>0</v>
      </c>
      <c r="E181">
        <v>0</v>
      </c>
      <c r="F181" s="12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99</v>
      </c>
      <c r="T181">
        <v>8</v>
      </c>
    </row>
    <row r="182" spans="1:20" ht="14.75" x14ac:dyDescent="0.75">
      <c r="A182" s="9">
        <v>45864</v>
      </c>
      <c r="B182" s="6" t="str">
        <f t="shared" si="5"/>
        <v>S30_2025</v>
      </c>
      <c r="C182" s="15">
        <f t="shared" si="6"/>
        <v>106</v>
      </c>
      <c r="D182" s="12">
        <v>0</v>
      </c>
      <c r="E182">
        <v>0</v>
      </c>
      <c r="F182" s="12">
        <v>0</v>
      </c>
      <c r="G182">
        <v>0</v>
      </c>
      <c r="H182">
        <v>0</v>
      </c>
      <c r="I182">
        <v>4</v>
      </c>
      <c r="J182">
        <v>1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102</v>
      </c>
      <c r="T182">
        <v>10</v>
      </c>
    </row>
    <row r="183" spans="1:20" ht="14.75" x14ac:dyDescent="0.75">
      <c r="A183" s="9">
        <v>45865</v>
      </c>
      <c r="B183" s="6" t="str">
        <f t="shared" si="5"/>
        <v>S30_2025</v>
      </c>
      <c r="C183" s="15">
        <f t="shared" si="6"/>
        <v>121</v>
      </c>
      <c r="D183" s="12">
        <v>0</v>
      </c>
      <c r="E183">
        <v>0</v>
      </c>
      <c r="F183" s="12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120</v>
      </c>
      <c r="T183">
        <v>5</v>
      </c>
    </row>
    <row r="184" spans="1:20" ht="14.75" x14ac:dyDescent="0.75">
      <c r="A184" s="9">
        <v>45866</v>
      </c>
      <c r="B184" s="6" t="str">
        <f t="shared" si="5"/>
        <v>S31_2025</v>
      </c>
      <c r="C184" s="15">
        <f t="shared" si="6"/>
        <v>109</v>
      </c>
      <c r="D184" s="12">
        <v>0</v>
      </c>
      <c r="E184">
        <v>4</v>
      </c>
      <c r="F184" s="12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105</v>
      </c>
      <c r="T184">
        <v>5</v>
      </c>
    </row>
    <row r="185" spans="1:20" ht="14.75" x14ac:dyDescent="0.75">
      <c r="A185" s="9">
        <v>45867</v>
      </c>
      <c r="B185" s="6" t="str">
        <f t="shared" si="5"/>
        <v>S31_2025</v>
      </c>
      <c r="C185" s="15">
        <f t="shared" si="6"/>
        <v>144</v>
      </c>
      <c r="D185" s="12">
        <v>0</v>
      </c>
      <c r="E185">
        <v>0</v>
      </c>
      <c r="F185" s="12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144</v>
      </c>
      <c r="T185">
        <v>3</v>
      </c>
    </row>
    <row r="186" spans="1:20" ht="14.75" x14ac:dyDescent="0.75">
      <c r="A186" s="9">
        <v>45868</v>
      </c>
      <c r="B186" s="6" t="str">
        <f t="shared" si="5"/>
        <v>S31_2025</v>
      </c>
      <c r="C186" s="15">
        <f t="shared" si="6"/>
        <v>190</v>
      </c>
      <c r="D186" s="12">
        <v>0</v>
      </c>
      <c r="E186">
        <v>0</v>
      </c>
      <c r="F186" s="12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190</v>
      </c>
      <c r="T186">
        <v>9</v>
      </c>
    </row>
    <row r="187" spans="1:20" ht="14.75" x14ac:dyDescent="0.75">
      <c r="A187" s="9">
        <v>45869</v>
      </c>
      <c r="B187" s="6" t="str">
        <f t="shared" si="5"/>
        <v>S31_2025</v>
      </c>
      <c r="C187" s="15">
        <f t="shared" si="6"/>
        <v>132</v>
      </c>
      <c r="D187" s="12">
        <v>0</v>
      </c>
      <c r="E187">
        <v>0</v>
      </c>
      <c r="F187" s="12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132</v>
      </c>
      <c r="T187">
        <v>12</v>
      </c>
    </row>
    <row r="188" spans="1:20" ht="14.75" x14ac:dyDescent="0.75">
      <c r="A188" s="9">
        <v>45870</v>
      </c>
      <c r="B188" s="6" t="str">
        <f t="shared" si="5"/>
        <v>S31_2025</v>
      </c>
      <c r="C188" s="15">
        <f t="shared" si="6"/>
        <v>70</v>
      </c>
      <c r="D188" s="12">
        <v>0</v>
      </c>
      <c r="E188">
        <v>0</v>
      </c>
      <c r="F188" s="12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70</v>
      </c>
      <c r="T188">
        <v>5</v>
      </c>
    </row>
    <row r="189" spans="1:20" ht="14.75" x14ac:dyDescent="0.75">
      <c r="A189" s="9">
        <v>45871</v>
      </c>
      <c r="B189" s="6" t="str">
        <f t="shared" si="5"/>
        <v>S31_2025</v>
      </c>
      <c r="C189" s="15">
        <f t="shared" si="6"/>
        <v>120</v>
      </c>
      <c r="D189" s="12">
        <v>0</v>
      </c>
      <c r="E189">
        <v>0</v>
      </c>
      <c r="F189" s="12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120</v>
      </c>
      <c r="T189">
        <v>11</v>
      </c>
    </row>
    <row r="190" spans="1:20" ht="14.75" x14ac:dyDescent="0.75">
      <c r="A190" s="9">
        <v>45872</v>
      </c>
      <c r="B190" s="6" t="str">
        <f t="shared" si="5"/>
        <v>S31_2025</v>
      </c>
      <c r="C190" s="15">
        <f t="shared" si="6"/>
        <v>102</v>
      </c>
      <c r="D190" s="12">
        <v>0</v>
      </c>
      <c r="E190">
        <v>0</v>
      </c>
      <c r="F190" s="12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102</v>
      </c>
      <c r="T190">
        <v>9</v>
      </c>
    </row>
    <row r="191" spans="1:20" ht="14.75" x14ac:dyDescent="0.75">
      <c r="A191" s="9">
        <v>45873</v>
      </c>
      <c r="B191" s="6" t="str">
        <f t="shared" si="5"/>
        <v>S32_2025</v>
      </c>
      <c r="C191" s="15">
        <f t="shared" si="6"/>
        <v>111</v>
      </c>
      <c r="D191" s="12">
        <v>0</v>
      </c>
      <c r="E191">
        <v>0</v>
      </c>
      <c r="F191" s="12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111</v>
      </c>
      <c r="T191">
        <v>6</v>
      </c>
    </row>
    <row r="192" spans="1:20" ht="14.75" x14ac:dyDescent="0.75">
      <c r="A192" s="9">
        <v>45874</v>
      </c>
      <c r="B192" s="6" t="str">
        <f t="shared" si="5"/>
        <v>S32_2025</v>
      </c>
      <c r="C192" s="15">
        <f t="shared" si="6"/>
        <v>198</v>
      </c>
      <c r="D192" s="12">
        <v>0</v>
      </c>
      <c r="E192">
        <v>0</v>
      </c>
      <c r="F192" s="1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198</v>
      </c>
      <c r="T192">
        <v>6</v>
      </c>
    </row>
    <row r="193" spans="1:20" ht="14.75" x14ac:dyDescent="0.75">
      <c r="A193" s="9">
        <v>45875</v>
      </c>
      <c r="B193" s="6" t="str">
        <f t="shared" si="5"/>
        <v>S32_2025</v>
      </c>
      <c r="C193" s="15">
        <f t="shared" si="6"/>
        <v>145</v>
      </c>
      <c r="D193" s="12">
        <v>0</v>
      </c>
      <c r="E193">
        <v>0</v>
      </c>
      <c r="F193" s="12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145</v>
      </c>
      <c r="T193">
        <v>10</v>
      </c>
    </row>
    <row r="194" spans="1:20" ht="14.75" x14ac:dyDescent="0.75">
      <c r="A194" s="9">
        <v>45876</v>
      </c>
      <c r="B194" s="6" t="str">
        <f t="shared" ref="B194:B257" si="7">CONCATENATE("S",_xlfn.ISOWEEKNUM(A194),"_",IF(AND(MONTH(A194)=12,_xlfn.ISOWEEKNUM(A194)=1),YEAR(A194)+1,IF(AND(MONTH(A194)=1,_xlfn.ISOWEEKNUM(A194)&gt;50),YEAR(A194)-1,YEAR(A194))))</f>
        <v>S32_2025</v>
      </c>
      <c r="C194" s="15">
        <f t="shared" si="6"/>
        <v>153</v>
      </c>
      <c r="D194" s="12">
        <v>0</v>
      </c>
      <c r="E194">
        <v>0</v>
      </c>
      <c r="F194" s="12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152</v>
      </c>
      <c r="T194">
        <v>4</v>
      </c>
    </row>
    <row r="195" spans="1:20" ht="14.75" x14ac:dyDescent="0.75">
      <c r="A195" s="9">
        <v>45877</v>
      </c>
      <c r="B195" s="6" t="str">
        <f t="shared" si="7"/>
        <v>S32_2025</v>
      </c>
      <c r="C195" s="15">
        <f t="shared" si="6"/>
        <v>72</v>
      </c>
      <c r="D195" s="12">
        <v>0</v>
      </c>
      <c r="E195">
        <v>0</v>
      </c>
      <c r="F195" s="12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70</v>
      </c>
      <c r="T195">
        <v>4</v>
      </c>
    </row>
    <row r="196" spans="1:20" ht="14.75" x14ac:dyDescent="0.75">
      <c r="A196" s="9">
        <v>45878</v>
      </c>
      <c r="B196" s="6" t="str">
        <f t="shared" si="7"/>
        <v>S32_2025</v>
      </c>
      <c r="C196" s="15">
        <f t="shared" si="6"/>
        <v>130</v>
      </c>
      <c r="D196" s="12">
        <v>0</v>
      </c>
      <c r="E196">
        <v>0</v>
      </c>
      <c r="F196" s="12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125</v>
      </c>
      <c r="T196">
        <v>9</v>
      </c>
    </row>
    <row r="197" spans="1:20" ht="14.75" x14ac:dyDescent="0.75">
      <c r="A197" s="9">
        <v>45879</v>
      </c>
      <c r="B197" s="6" t="str">
        <f t="shared" si="7"/>
        <v>S32_2025</v>
      </c>
      <c r="C197" s="15">
        <f t="shared" si="6"/>
        <v>76</v>
      </c>
      <c r="D197" s="12">
        <v>0</v>
      </c>
      <c r="E197">
        <v>4</v>
      </c>
      <c r="F197" s="12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72</v>
      </c>
      <c r="T197">
        <v>4</v>
      </c>
    </row>
    <row r="198" spans="1:20" ht="14.75" x14ac:dyDescent="0.75">
      <c r="A198" s="9">
        <v>45880</v>
      </c>
      <c r="B198" s="6" t="str">
        <f t="shared" si="7"/>
        <v>S33_2025</v>
      </c>
      <c r="C198" s="15">
        <f t="shared" si="6"/>
        <v>158</v>
      </c>
      <c r="D198" s="12">
        <v>0</v>
      </c>
      <c r="E198">
        <v>1</v>
      </c>
      <c r="F198" s="12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155</v>
      </c>
      <c r="T198">
        <v>8</v>
      </c>
    </row>
    <row r="199" spans="1:20" ht="14.75" x14ac:dyDescent="0.75">
      <c r="A199" s="9">
        <v>45881</v>
      </c>
      <c r="B199" s="6" t="str">
        <f t="shared" si="7"/>
        <v>S33_2025</v>
      </c>
      <c r="C199" s="15">
        <f t="shared" si="6"/>
        <v>77</v>
      </c>
      <c r="D199" s="12">
        <v>0</v>
      </c>
      <c r="E199">
        <v>0</v>
      </c>
      <c r="F199" s="12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77</v>
      </c>
      <c r="T199">
        <v>6</v>
      </c>
    </row>
    <row r="200" spans="1:20" ht="14.75" x14ac:dyDescent="0.75">
      <c r="A200" s="9">
        <v>45882</v>
      </c>
      <c r="B200" s="6" t="str">
        <f t="shared" si="7"/>
        <v>S33_2025</v>
      </c>
      <c r="C200" s="15">
        <f t="shared" si="6"/>
        <v>219</v>
      </c>
      <c r="D200" s="12">
        <v>0</v>
      </c>
      <c r="E200">
        <v>0</v>
      </c>
      <c r="F200" s="12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0</v>
      </c>
      <c r="Q200">
        <v>0</v>
      </c>
      <c r="R200">
        <v>0</v>
      </c>
      <c r="S200">
        <v>217</v>
      </c>
      <c r="T200">
        <v>13</v>
      </c>
    </row>
    <row r="201" spans="1:20" ht="14.75" x14ac:dyDescent="0.75">
      <c r="A201" s="9">
        <v>45883</v>
      </c>
      <c r="B201" s="6" t="str">
        <f t="shared" si="7"/>
        <v>S33_2025</v>
      </c>
      <c r="C201" s="15">
        <f t="shared" si="6"/>
        <v>166</v>
      </c>
      <c r="D201" s="12">
        <v>1</v>
      </c>
      <c r="E201">
        <v>0</v>
      </c>
      <c r="F201" s="12">
        <v>0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6</v>
      </c>
      <c r="N201">
        <v>0</v>
      </c>
      <c r="O201">
        <v>2</v>
      </c>
      <c r="P201">
        <v>2</v>
      </c>
      <c r="Q201">
        <v>0</v>
      </c>
      <c r="R201">
        <v>0</v>
      </c>
      <c r="S201">
        <v>155</v>
      </c>
      <c r="T201">
        <v>9</v>
      </c>
    </row>
    <row r="202" spans="1:20" ht="14.75" x14ac:dyDescent="0.75">
      <c r="A202" s="9">
        <v>45884</v>
      </c>
      <c r="B202" s="6" t="str">
        <f t="shared" si="7"/>
        <v>S33_2025</v>
      </c>
      <c r="C202" s="15">
        <f t="shared" si="6"/>
        <v>144</v>
      </c>
      <c r="D202" s="12">
        <v>0</v>
      </c>
      <c r="E202">
        <v>3</v>
      </c>
      <c r="F202" s="1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0</v>
      </c>
      <c r="S202">
        <v>140</v>
      </c>
      <c r="T202">
        <v>12</v>
      </c>
    </row>
    <row r="203" spans="1:20" ht="14.75" x14ac:dyDescent="0.75">
      <c r="A203" s="9">
        <v>45885</v>
      </c>
      <c r="B203" s="6" t="str">
        <f t="shared" si="7"/>
        <v>S33_2025</v>
      </c>
      <c r="C203" s="15">
        <f t="shared" si="6"/>
        <v>103</v>
      </c>
      <c r="D203" s="12">
        <v>0</v>
      </c>
      <c r="E203">
        <v>4</v>
      </c>
      <c r="F203" s="12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2</v>
      </c>
      <c r="P203">
        <v>0</v>
      </c>
      <c r="Q203">
        <v>0</v>
      </c>
      <c r="R203">
        <v>0</v>
      </c>
      <c r="S203">
        <v>97</v>
      </c>
      <c r="T203">
        <v>5</v>
      </c>
    </row>
    <row r="204" spans="1:20" ht="14.75" x14ac:dyDescent="0.75">
      <c r="A204" s="9">
        <v>45886</v>
      </c>
      <c r="B204" s="6" t="str">
        <f t="shared" si="7"/>
        <v>S33_2025</v>
      </c>
      <c r="C204" s="15">
        <f t="shared" si="6"/>
        <v>60</v>
      </c>
      <c r="D204" s="12">
        <v>0</v>
      </c>
      <c r="E204">
        <v>0</v>
      </c>
      <c r="F204" s="12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0</v>
      </c>
      <c r="R204">
        <v>0</v>
      </c>
      <c r="S204">
        <v>58</v>
      </c>
      <c r="T204">
        <v>7</v>
      </c>
    </row>
    <row r="205" spans="1:20" ht="14.75" x14ac:dyDescent="0.75">
      <c r="A205" s="9">
        <v>45887</v>
      </c>
      <c r="B205" s="6" t="str">
        <f t="shared" si="7"/>
        <v>S34_2025</v>
      </c>
      <c r="C205" s="15">
        <f t="shared" si="6"/>
        <v>162</v>
      </c>
      <c r="D205" s="12">
        <v>1</v>
      </c>
      <c r="E205">
        <v>0</v>
      </c>
      <c r="F205" s="12">
        <v>0</v>
      </c>
      <c r="G205">
        <v>0</v>
      </c>
      <c r="H205">
        <v>0</v>
      </c>
      <c r="I205">
        <v>2</v>
      </c>
      <c r="J205">
        <v>3</v>
      </c>
      <c r="K205">
        <v>0</v>
      </c>
      <c r="L205">
        <v>1</v>
      </c>
      <c r="M205">
        <v>0</v>
      </c>
      <c r="N205">
        <v>0</v>
      </c>
      <c r="O205">
        <v>3</v>
      </c>
      <c r="P205">
        <v>0</v>
      </c>
      <c r="Q205">
        <v>0</v>
      </c>
      <c r="R205">
        <v>0</v>
      </c>
      <c r="S205">
        <v>157</v>
      </c>
      <c r="T205">
        <v>15</v>
      </c>
    </row>
    <row r="206" spans="1:20" ht="14.75" x14ac:dyDescent="0.75">
      <c r="A206" s="9">
        <v>45888</v>
      </c>
      <c r="B206" s="6" t="str">
        <f t="shared" si="7"/>
        <v>S34_2025</v>
      </c>
      <c r="C206" s="15">
        <f t="shared" si="6"/>
        <v>190</v>
      </c>
      <c r="D206" s="12">
        <v>1</v>
      </c>
      <c r="E206">
        <v>0</v>
      </c>
      <c r="F206" s="12">
        <v>0</v>
      </c>
      <c r="G206">
        <v>0</v>
      </c>
      <c r="H206">
        <v>0</v>
      </c>
      <c r="I206">
        <v>2</v>
      </c>
      <c r="J206">
        <v>3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188</v>
      </c>
      <c r="T206">
        <v>5</v>
      </c>
    </row>
    <row r="207" spans="1:20" ht="14.75" x14ac:dyDescent="0.75">
      <c r="A207" s="9">
        <v>45889</v>
      </c>
      <c r="B207" s="6" t="str">
        <f t="shared" si="7"/>
        <v>S34_2025</v>
      </c>
      <c r="C207" s="15">
        <f t="shared" si="6"/>
        <v>140</v>
      </c>
      <c r="D207" s="12">
        <v>0</v>
      </c>
      <c r="E207">
        <v>0</v>
      </c>
      <c r="F207" s="12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140</v>
      </c>
      <c r="T207">
        <v>4</v>
      </c>
    </row>
    <row r="208" spans="1:20" ht="14.75" x14ac:dyDescent="0.75">
      <c r="A208" s="9">
        <v>45890</v>
      </c>
      <c r="B208" s="6" t="str">
        <f t="shared" si="7"/>
        <v>S34_2025</v>
      </c>
      <c r="C208" s="15">
        <f t="shared" si="6"/>
        <v>149</v>
      </c>
      <c r="D208" s="12">
        <v>0</v>
      </c>
      <c r="E208">
        <v>0</v>
      </c>
      <c r="F208" s="12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145</v>
      </c>
      <c r="T208">
        <v>31</v>
      </c>
    </row>
    <row r="209" spans="1:20" ht="14.75" x14ac:dyDescent="0.75">
      <c r="A209" s="9">
        <v>45891</v>
      </c>
      <c r="B209" s="6" t="str">
        <f t="shared" si="7"/>
        <v>S34_2025</v>
      </c>
      <c r="C209" s="15">
        <f t="shared" si="6"/>
        <v>129</v>
      </c>
      <c r="D209" s="12">
        <v>0</v>
      </c>
      <c r="E209">
        <v>0</v>
      </c>
      <c r="F209" s="12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129</v>
      </c>
      <c r="T209">
        <v>14</v>
      </c>
    </row>
    <row r="210" spans="1:20" ht="14.75" x14ac:dyDescent="0.75">
      <c r="A210" s="9">
        <v>45892</v>
      </c>
      <c r="B210" s="6" t="str">
        <f t="shared" si="7"/>
        <v>S34_2025</v>
      </c>
      <c r="C210" s="15">
        <f t="shared" si="6"/>
        <v>127</v>
      </c>
      <c r="D210" s="12">
        <v>0</v>
      </c>
      <c r="E210">
        <v>0</v>
      </c>
      <c r="F210" s="12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123</v>
      </c>
      <c r="T210">
        <v>25</v>
      </c>
    </row>
    <row r="211" spans="1:20" ht="14.75" x14ac:dyDescent="0.75">
      <c r="A211" s="9">
        <v>45893</v>
      </c>
      <c r="B211" s="6" t="str">
        <f t="shared" si="7"/>
        <v>S34_2025</v>
      </c>
      <c r="C211" s="15">
        <f t="shared" ref="C211:C274" si="8">E211+G211+I211+K211+M211+O211+Q211+S211+U211+W211+Y211+AA211+AC211+AE211+AG211+AI211+AK211</f>
        <v>20</v>
      </c>
      <c r="D211" s="12">
        <v>0</v>
      </c>
      <c r="E211">
        <v>0</v>
      </c>
      <c r="F211" s="12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</v>
      </c>
      <c r="T211">
        <v>20</v>
      </c>
    </row>
    <row r="212" spans="1:20" ht="14.75" x14ac:dyDescent="0.75">
      <c r="A212" s="9">
        <v>45894</v>
      </c>
      <c r="B212" s="6" t="str">
        <f t="shared" si="7"/>
        <v>S35_2025</v>
      </c>
      <c r="C212" s="15">
        <f t="shared" si="8"/>
        <v>118</v>
      </c>
      <c r="D212" s="12">
        <v>0</v>
      </c>
      <c r="E212">
        <v>0</v>
      </c>
      <c r="F212" s="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2</v>
      </c>
      <c r="P212">
        <v>0</v>
      </c>
      <c r="Q212">
        <v>0</v>
      </c>
      <c r="R212">
        <v>0</v>
      </c>
      <c r="S212">
        <v>116</v>
      </c>
      <c r="T212">
        <v>2</v>
      </c>
    </row>
    <row r="213" spans="1:20" ht="14.75" x14ac:dyDescent="0.75">
      <c r="A213" s="9">
        <v>45895</v>
      </c>
      <c r="B213" s="6" t="str">
        <f t="shared" si="7"/>
        <v>S35_2025</v>
      </c>
      <c r="C213" s="15">
        <f t="shared" si="8"/>
        <v>136</v>
      </c>
      <c r="D213" s="12">
        <v>0</v>
      </c>
      <c r="E213">
        <v>0</v>
      </c>
      <c r="F213" s="12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5</v>
      </c>
      <c r="N213">
        <v>5</v>
      </c>
      <c r="O213">
        <v>0</v>
      </c>
      <c r="P213">
        <v>0</v>
      </c>
      <c r="Q213">
        <v>0</v>
      </c>
      <c r="R213">
        <v>0</v>
      </c>
      <c r="S213">
        <v>131</v>
      </c>
      <c r="T213">
        <v>12</v>
      </c>
    </row>
    <row r="214" spans="1:20" ht="14.75" x14ac:dyDescent="0.75">
      <c r="A214" s="9">
        <v>45896</v>
      </c>
      <c r="B214" s="6" t="str">
        <f t="shared" si="7"/>
        <v>S35_2025</v>
      </c>
      <c r="C214" s="15">
        <f t="shared" si="8"/>
        <v>139</v>
      </c>
      <c r="D214" s="12">
        <v>0</v>
      </c>
      <c r="E214">
        <v>0</v>
      </c>
      <c r="F214" s="12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137</v>
      </c>
      <c r="T214">
        <v>3</v>
      </c>
    </row>
    <row r="215" spans="1:20" ht="14.75" x14ac:dyDescent="0.75">
      <c r="A215" s="9">
        <v>45897</v>
      </c>
      <c r="B215" s="6" t="str">
        <f t="shared" si="7"/>
        <v>S35_2025</v>
      </c>
      <c r="C215" s="15">
        <f t="shared" si="8"/>
        <v>142</v>
      </c>
      <c r="D215" s="12">
        <v>0</v>
      </c>
      <c r="E215">
        <v>0</v>
      </c>
      <c r="F215" s="12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142</v>
      </c>
      <c r="T215">
        <v>13</v>
      </c>
    </row>
    <row r="216" spans="1:20" ht="14.75" x14ac:dyDescent="0.75">
      <c r="A216" s="9">
        <v>45898</v>
      </c>
      <c r="B216" s="6" t="str">
        <f t="shared" si="7"/>
        <v>S35_2025</v>
      </c>
      <c r="C216" s="15">
        <f t="shared" si="8"/>
        <v>85</v>
      </c>
      <c r="D216" s="12">
        <v>0</v>
      </c>
      <c r="E216">
        <v>0</v>
      </c>
      <c r="F216" s="12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85</v>
      </c>
      <c r="T216">
        <v>3</v>
      </c>
    </row>
    <row r="217" spans="1:20" ht="14.75" x14ac:dyDescent="0.75">
      <c r="A217" s="6">
        <v>45899</v>
      </c>
      <c r="B217" s="6" t="str">
        <f t="shared" si="7"/>
        <v>S35_2025</v>
      </c>
      <c r="C217" s="15">
        <f t="shared" si="8"/>
        <v>32</v>
      </c>
      <c r="D217" s="12">
        <v>0</v>
      </c>
      <c r="E217">
        <v>0</v>
      </c>
      <c r="F217" s="12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32</v>
      </c>
      <c r="T217">
        <v>7</v>
      </c>
    </row>
    <row r="218" spans="1:20" ht="14.75" x14ac:dyDescent="0.75">
      <c r="A218" s="6">
        <v>45900</v>
      </c>
      <c r="B218" s="6" t="str">
        <f t="shared" si="7"/>
        <v>S35_2025</v>
      </c>
      <c r="C218" s="15">
        <f t="shared" si="8"/>
        <v>55</v>
      </c>
      <c r="D218" s="12">
        <v>0</v>
      </c>
      <c r="E218">
        <v>0</v>
      </c>
      <c r="F218" s="12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54</v>
      </c>
      <c r="T218">
        <v>4</v>
      </c>
    </row>
    <row r="219" spans="1:20" ht="14.75" x14ac:dyDescent="0.75">
      <c r="A219" s="6">
        <v>45901</v>
      </c>
      <c r="B219" s="6" t="str">
        <f t="shared" si="7"/>
        <v>S36_2025</v>
      </c>
      <c r="C219" s="15">
        <f t="shared" si="8"/>
        <v>111</v>
      </c>
      <c r="D219" s="12">
        <v>0</v>
      </c>
      <c r="E219">
        <v>0</v>
      </c>
      <c r="F219" s="12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110</v>
      </c>
      <c r="T219">
        <v>6</v>
      </c>
    </row>
    <row r="220" spans="1:20" ht="14.75" x14ac:dyDescent="0.75">
      <c r="A220" s="6">
        <v>45902</v>
      </c>
      <c r="B220" s="6" t="str">
        <f t="shared" si="7"/>
        <v>S36_2025</v>
      </c>
      <c r="C220" s="15">
        <f t="shared" si="8"/>
        <v>114</v>
      </c>
      <c r="D220" s="12">
        <v>0</v>
      </c>
      <c r="E220">
        <v>0</v>
      </c>
      <c r="F220" s="12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114</v>
      </c>
      <c r="T220">
        <v>10</v>
      </c>
    </row>
    <row r="221" spans="1:20" ht="14.75" x14ac:dyDescent="0.75">
      <c r="A221" s="6">
        <v>45903</v>
      </c>
      <c r="B221" s="6" t="str">
        <f t="shared" si="7"/>
        <v>S36_2025</v>
      </c>
      <c r="C221" s="15">
        <f t="shared" si="8"/>
        <v>289</v>
      </c>
      <c r="D221" s="12">
        <v>0</v>
      </c>
      <c r="E221">
        <v>0</v>
      </c>
      <c r="F221" s="12">
        <v>0</v>
      </c>
      <c r="G221">
        <v>0</v>
      </c>
      <c r="H221">
        <v>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0</v>
      </c>
      <c r="S221">
        <v>287</v>
      </c>
      <c r="T221">
        <v>10</v>
      </c>
    </row>
    <row r="222" spans="1:20" ht="14.75" x14ac:dyDescent="0.75">
      <c r="A222" s="6">
        <v>45904</v>
      </c>
      <c r="B222" s="6" t="str">
        <f t="shared" si="7"/>
        <v>S36_2025</v>
      </c>
      <c r="C222" s="15">
        <f t="shared" si="8"/>
        <v>160</v>
      </c>
      <c r="D222" s="12">
        <v>0</v>
      </c>
      <c r="E222">
        <v>0</v>
      </c>
      <c r="F222" s="1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160</v>
      </c>
      <c r="T222">
        <v>9</v>
      </c>
    </row>
    <row r="223" spans="1:20" ht="14.75" x14ac:dyDescent="0.75">
      <c r="A223" s="6">
        <v>45905</v>
      </c>
      <c r="B223" s="6" t="str">
        <f t="shared" si="7"/>
        <v>S36_2025</v>
      </c>
      <c r="C223" s="15">
        <f t="shared" si="8"/>
        <v>80</v>
      </c>
      <c r="D223" s="12">
        <v>0</v>
      </c>
      <c r="E223">
        <v>0</v>
      </c>
      <c r="F223" s="12">
        <v>0</v>
      </c>
      <c r="G223">
        <v>2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76</v>
      </c>
      <c r="T223">
        <v>4</v>
      </c>
    </row>
    <row r="224" spans="1:20" ht="14.75" x14ac:dyDescent="0.75">
      <c r="A224" s="6">
        <v>45906</v>
      </c>
      <c r="B224" s="6" t="str">
        <f t="shared" si="7"/>
        <v>S36_2025</v>
      </c>
      <c r="C224" s="15">
        <f t="shared" si="8"/>
        <v>103</v>
      </c>
      <c r="D224" s="12">
        <v>0</v>
      </c>
      <c r="E224">
        <v>0</v>
      </c>
      <c r="F224" s="12">
        <v>0</v>
      </c>
      <c r="G224">
        <v>0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100</v>
      </c>
      <c r="T224">
        <v>5</v>
      </c>
    </row>
    <row r="225" spans="1:20" ht="14.75" x14ac:dyDescent="0.75">
      <c r="A225" s="6">
        <v>45907</v>
      </c>
      <c r="B225" s="6" t="str">
        <f t="shared" si="7"/>
        <v>S36_2025</v>
      </c>
      <c r="C225" s="15">
        <f t="shared" si="8"/>
        <v>80</v>
      </c>
      <c r="D225" s="12">
        <v>0</v>
      </c>
      <c r="E225">
        <v>0</v>
      </c>
      <c r="F225" s="12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80</v>
      </c>
      <c r="T225">
        <v>3</v>
      </c>
    </row>
    <row r="226" spans="1:20" ht="14.75" x14ac:dyDescent="0.75">
      <c r="A226" s="6">
        <v>45908</v>
      </c>
      <c r="B226" s="6" t="str">
        <f t="shared" si="7"/>
        <v>S37_2025</v>
      </c>
      <c r="C226" s="15">
        <f t="shared" si="8"/>
        <v>150</v>
      </c>
      <c r="D226" s="13">
        <v>0</v>
      </c>
      <c r="E226" s="2">
        <v>0</v>
      </c>
      <c r="F226" s="13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150</v>
      </c>
      <c r="T226" s="2">
        <v>10</v>
      </c>
    </row>
    <row r="227" spans="1:20" ht="14.75" x14ac:dyDescent="0.75">
      <c r="A227" s="6">
        <v>45909</v>
      </c>
      <c r="B227" s="6" t="str">
        <f t="shared" si="7"/>
        <v>S37_2025</v>
      </c>
      <c r="C227" s="15">
        <f t="shared" si="8"/>
        <v>204</v>
      </c>
      <c r="D227" s="13">
        <v>0</v>
      </c>
      <c r="E227" s="2">
        <v>0</v>
      </c>
      <c r="F227" s="13">
        <v>0</v>
      </c>
      <c r="G227" s="2">
        <v>0</v>
      </c>
      <c r="H227" s="2">
        <v>3</v>
      </c>
      <c r="I227" s="2">
        <v>2</v>
      </c>
      <c r="J227" s="2">
        <v>3</v>
      </c>
      <c r="K227" s="2">
        <v>0</v>
      </c>
      <c r="L227" s="2">
        <v>0</v>
      </c>
      <c r="M227" s="2">
        <v>1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200</v>
      </c>
      <c r="T227" s="2">
        <v>10</v>
      </c>
    </row>
    <row r="228" spans="1:20" ht="14.75" x14ac:dyDescent="0.75">
      <c r="A228" s="6">
        <v>45910</v>
      </c>
      <c r="B228" s="6" t="str">
        <f t="shared" si="7"/>
        <v>S37_2025</v>
      </c>
      <c r="C228" s="15">
        <f t="shared" si="8"/>
        <v>159</v>
      </c>
      <c r="D228" s="13">
        <v>1</v>
      </c>
      <c r="E228" s="2">
        <v>0</v>
      </c>
      <c r="F228" s="13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158</v>
      </c>
      <c r="T228" s="2">
        <v>6</v>
      </c>
    </row>
    <row r="229" spans="1:20" ht="14.75" x14ac:dyDescent="0.75">
      <c r="A229" s="6">
        <v>45911</v>
      </c>
      <c r="B229" s="6" t="str">
        <f t="shared" si="7"/>
        <v>S37_2025</v>
      </c>
      <c r="C229" s="15">
        <f t="shared" si="8"/>
        <v>108</v>
      </c>
      <c r="D229" s="13">
        <v>0</v>
      </c>
      <c r="E229" s="2">
        <v>0</v>
      </c>
      <c r="F229" s="13">
        <v>0</v>
      </c>
      <c r="G229" s="2">
        <v>0</v>
      </c>
      <c r="H229" s="2">
        <v>0</v>
      </c>
      <c r="I229" s="2">
        <v>0</v>
      </c>
      <c r="J229" s="2">
        <v>0</v>
      </c>
      <c r="K229" s="2">
        <v>2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106</v>
      </c>
      <c r="T229" s="2">
        <v>7</v>
      </c>
    </row>
    <row r="230" spans="1:20" ht="14.75" x14ac:dyDescent="0.75">
      <c r="A230" s="6">
        <v>45912</v>
      </c>
      <c r="B230" s="6" t="str">
        <f t="shared" si="7"/>
        <v>S37_2025</v>
      </c>
      <c r="C230" s="15">
        <f t="shared" si="8"/>
        <v>142</v>
      </c>
      <c r="D230" s="13">
        <v>2</v>
      </c>
      <c r="E230" s="2">
        <v>0</v>
      </c>
      <c r="F230" s="13">
        <v>0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140</v>
      </c>
      <c r="T230" s="2">
        <v>2</v>
      </c>
    </row>
    <row r="231" spans="1:20" ht="14.75" x14ac:dyDescent="0.75">
      <c r="A231" s="6">
        <v>45913</v>
      </c>
      <c r="B231" s="6" t="str">
        <f t="shared" si="7"/>
        <v>S37_2025</v>
      </c>
      <c r="C231" s="15">
        <f t="shared" si="8"/>
        <v>128</v>
      </c>
      <c r="D231" s="13">
        <v>0</v>
      </c>
      <c r="E231" s="2">
        <v>4</v>
      </c>
      <c r="F231" s="13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3</v>
      </c>
      <c r="P231" s="2">
        <v>0</v>
      </c>
      <c r="Q231" s="2">
        <v>0</v>
      </c>
      <c r="R231" s="2">
        <v>0</v>
      </c>
      <c r="S231" s="2">
        <v>121</v>
      </c>
      <c r="T231" s="2">
        <v>3</v>
      </c>
    </row>
    <row r="232" spans="1:20" ht="14.75" x14ac:dyDescent="0.75">
      <c r="A232" s="6">
        <v>45914</v>
      </c>
      <c r="B232" s="6" t="str">
        <f t="shared" si="7"/>
        <v>S37_2025</v>
      </c>
      <c r="C232" s="15">
        <f t="shared" si="8"/>
        <v>122</v>
      </c>
      <c r="D232" s="13">
        <v>0</v>
      </c>
      <c r="E232" s="2">
        <v>0</v>
      </c>
      <c r="F232" s="13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122</v>
      </c>
      <c r="T232" s="2">
        <v>5</v>
      </c>
    </row>
    <row r="233" spans="1:20" ht="14.75" x14ac:dyDescent="0.75">
      <c r="A233" s="6">
        <v>45915</v>
      </c>
      <c r="B233" s="6" t="str">
        <f t="shared" si="7"/>
        <v>S38_2025</v>
      </c>
      <c r="C233" s="15">
        <f t="shared" si="8"/>
        <v>93</v>
      </c>
      <c r="D233" s="12">
        <v>0</v>
      </c>
      <c r="E233">
        <v>0</v>
      </c>
      <c r="F233" s="12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92</v>
      </c>
      <c r="T233">
        <v>4</v>
      </c>
    </row>
    <row r="234" spans="1:20" ht="14.75" x14ac:dyDescent="0.75">
      <c r="A234" s="6">
        <v>45916</v>
      </c>
      <c r="B234" s="6" t="str">
        <f t="shared" si="7"/>
        <v>S38_2025</v>
      </c>
      <c r="C234" s="15">
        <f t="shared" si="8"/>
        <v>93</v>
      </c>
      <c r="D234" s="12">
        <v>0</v>
      </c>
      <c r="E234">
        <v>0</v>
      </c>
      <c r="F234" s="12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93</v>
      </c>
      <c r="T234">
        <v>7</v>
      </c>
    </row>
    <row r="235" spans="1:20" ht="14.75" x14ac:dyDescent="0.75">
      <c r="A235" s="6">
        <v>45917</v>
      </c>
      <c r="B235" s="6" t="str">
        <f t="shared" si="7"/>
        <v>S38_2025</v>
      </c>
      <c r="C235" s="15">
        <f t="shared" si="8"/>
        <v>82</v>
      </c>
      <c r="D235" s="12">
        <v>0</v>
      </c>
      <c r="E235">
        <v>0</v>
      </c>
      <c r="F235" s="12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0</v>
      </c>
      <c r="S235">
        <v>80</v>
      </c>
      <c r="T235">
        <v>5</v>
      </c>
    </row>
    <row r="236" spans="1:20" ht="14.75" x14ac:dyDescent="0.75">
      <c r="A236" s="6">
        <v>45918</v>
      </c>
      <c r="B236" s="6" t="str">
        <f t="shared" si="7"/>
        <v>S38_2025</v>
      </c>
      <c r="C236" s="15">
        <f t="shared" si="8"/>
        <v>66</v>
      </c>
      <c r="D236" s="12">
        <v>0</v>
      </c>
      <c r="E236">
        <v>0</v>
      </c>
      <c r="F236" s="12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66</v>
      </c>
      <c r="T236">
        <v>7</v>
      </c>
    </row>
    <row r="237" spans="1:20" ht="14.75" x14ac:dyDescent="0.75">
      <c r="A237" s="6">
        <v>45919</v>
      </c>
      <c r="B237" s="6" t="str">
        <f t="shared" si="7"/>
        <v>S38_2025</v>
      </c>
      <c r="C237" s="15">
        <f t="shared" si="8"/>
        <v>145</v>
      </c>
      <c r="D237" s="12">
        <v>0</v>
      </c>
      <c r="E237">
        <v>0</v>
      </c>
      <c r="F237" s="12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142</v>
      </c>
      <c r="T237">
        <v>5</v>
      </c>
    </row>
    <row r="238" spans="1:20" ht="14.75" x14ac:dyDescent="0.75">
      <c r="A238" s="6">
        <v>45920</v>
      </c>
      <c r="B238" s="6" t="str">
        <f t="shared" si="7"/>
        <v>S38_2025</v>
      </c>
      <c r="C238" s="15">
        <f t="shared" si="8"/>
        <v>106</v>
      </c>
      <c r="D238" s="12">
        <v>0</v>
      </c>
      <c r="E238">
        <v>0</v>
      </c>
      <c r="F238" s="12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104</v>
      </c>
      <c r="T238">
        <v>3</v>
      </c>
    </row>
    <row r="239" spans="1:20" ht="14.75" x14ac:dyDescent="0.75">
      <c r="A239" s="6">
        <v>45921</v>
      </c>
      <c r="B239" s="6" t="str">
        <f t="shared" si="7"/>
        <v>S38_2025</v>
      </c>
      <c r="C239" s="15">
        <f t="shared" si="8"/>
        <v>99</v>
      </c>
      <c r="D239" s="12">
        <v>0</v>
      </c>
      <c r="E239">
        <v>0</v>
      </c>
      <c r="F239" s="12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95</v>
      </c>
      <c r="T239">
        <v>3</v>
      </c>
    </row>
    <row r="240" spans="1:20" ht="14.75" x14ac:dyDescent="0.75">
      <c r="A240" s="6">
        <v>45922</v>
      </c>
      <c r="B240" s="6" t="str">
        <f t="shared" si="7"/>
        <v>S39_2025</v>
      </c>
      <c r="C240" s="15">
        <f t="shared" si="8"/>
        <v>91</v>
      </c>
      <c r="D240" s="12">
        <v>0</v>
      </c>
      <c r="E240">
        <v>0</v>
      </c>
      <c r="F240" s="12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88</v>
      </c>
      <c r="T240">
        <v>8</v>
      </c>
    </row>
    <row r="241" spans="1:20" ht="14.75" x14ac:dyDescent="0.75">
      <c r="A241" s="6">
        <v>45923</v>
      </c>
      <c r="B241" s="6" t="str">
        <f t="shared" si="7"/>
        <v>S39_2025</v>
      </c>
      <c r="C241" s="15">
        <f t="shared" si="8"/>
        <v>83</v>
      </c>
      <c r="D241" s="12">
        <v>0</v>
      </c>
      <c r="E241">
        <v>0</v>
      </c>
      <c r="F241" s="12">
        <v>0</v>
      </c>
      <c r="G241">
        <v>0</v>
      </c>
      <c r="H241">
        <v>0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81</v>
      </c>
      <c r="T241">
        <v>7</v>
      </c>
    </row>
    <row r="242" spans="1:20" ht="14.75" x14ac:dyDescent="0.75">
      <c r="A242" s="6">
        <v>45924</v>
      </c>
      <c r="B242" s="6" t="str">
        <f t="shared" si="7"/>
        <v>S39_2025</v>
      </c>
      <c r="C242" s="15">
        <f t="shared" si="8"/>
        <v>99</v>
      </c>
      <c r="D242" s="12">
        <v>0</v>
      </c>
      <c r="E242">
        <v>0</v>
      </c>
      <c r="F242" s="1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2</v>
      </c>
      <c r="P242">
        <v>0</v>
      </c>
      <c r="R242">
        <v>1</v>
      </c>
      <c r="S242">
        <v>97</v>
      </c>
      <c r="T242">
        <v>5</v>
      </c>
    </row>
    <row r="243" spans="1:20" ht="14.75" x14ac:dyDescent="0.75">
      <c r="A243" s="6">
        <v>45925</v>
      </c>
      <c r="B243" s="6" t="str">
        <f t="shared" si="7"/>
        <v>S39_2025</v>
      </c>
      <c r="C243" s="15">
        <f t="shared" si="8"/>
        <v>144</v>
      </c>
      <c r="D243" s="12">
        <v>0</v>
      </c>
      <c r="E243">
        <v>0</v>
      </c>
      <c r="F243" s="12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S243">
        <v>139</v>
      </c>
      <c r="T243">
        <v>5</v>
      </c>
    </row>
    <row r="244" spans="1:20" ht="14.75" x14ac:dyDescent="0.75">
      <c r="A244" s="6">
        <v>45926</v>
      </c>
      <c r="B244" s="6" t="str">
        <f t="shared" si="7"/>
        <v>S39_2025</v>
      </c>
      <c r="C244" s="15">
        <f t="shared" si="8"/>
        <v>49</v>
      </c>
      <c r="D244" s="12">
        <v>0</v>
      </c>
      <c r="E244">
        <v>0</v>
      </c>
      <c r="F244" s="12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S244">
        <v>47</v>
      </c>
      <c r="T244">
        <v>1</v>
      </c>
    </row>
    <row r="245" spans="1:20" ht="14.75" x14ac:dyDescent="0.75">
      <c r="A245" s="6">
        <v>45927</v>
      </c>
      <c r="B245" s="6" t="str">
        <f t="shared" si="7"/>
        <v>S39_2025</v>
      </c>
      <c r="C245" s="15">
        <f t="shared" si="8"/>
        <v>52</v>
      </c>
      <c r="D245" s="12">
        <v>0</v>
      </c>
      <c r="E245">
        <v>0</v>
      </c>
      <c r="F245" s="12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S245">
        <v>50</v>
      </c>
      <c r="T245">
        <v>3</v>
      </c>
    </row>
    <row r="246" spans="1:20" ht="14.75" x14ac:dyDescent="0.75">
      <c r="A246" s="6">
        <v>45928</v>
      </c>
      <c r="B246" s="6" t="str">
        <f t="shared" si="7"/>
        <v>S39_2025</v>
      </c>
      <c r="C246" s="15">
        <f t="shared" si="8"/>
        <v>64</v>
      </c>
      <c r="D246" s="12">
        <v>0</v>
      </c>
      <c r="E246">
        <v>8</v>
      </c>
      <c r="F246" s="12">
        <v>0</v>
      </c>
      <c r="G246">
        <v>0</v>
      </c>
      <c r="H246">
        <v>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S246">
        <v>56</v>
      </c>
      <c r="T246">
        <v>5</v>
      </c>
    </row>
    <row r="247" spans="1:20" ht="14.75" x14ac:dyDescent="0.75">
      <c r="A247" s="9">
        <v>45929</v>
      </c>
      <c r="B247" s="9" t="str">
        <f t="shared" si="7"/>
        <v>S40_2025</v>
      </c>
      <c r="C247" s="15">
        <f t="shared" si="8"/>
        <v>61</v>
      </c>
      <c r="D247" s="13">
        <v>0</v>
      </c>
      <c r="E247" s="2">
        <v>0</v>
      </c>
      <c r="F247" s="13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  <c r="Q247" s="2"/>
      <c r="R247" s="2"/>
      <c r="S247" s="2">
        <v>60</v>
      </c>
      <c r="T247" s="2">
        <v>2</v>
      </c>
    </row>
    <row r="248" spans="1:20" ht="14.75" x14ac:dyDescent="0.75">
      <c r="A248" s="9">
        <v>45930</v>
      </c>
      <c r="B248" s="9" t="str">
        <f t="shared" si="7"/>
        <v>S40_2025</v>
      </c>
      <c r="C248" s="15">
        <f t="shared" si="8"/>
        <v>117</v>
      </c>
      <c r="D248" s="13">
        <v>0</v>
      </c>
      <c r="E248" s="2">
        <v>0</v>
      </c>
      <c r="F248" s="13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1</v>
      </c>
      <c r="P248" s="2">
        <v>0</v>
      </c>
      <c r="Q248" s="2"/>
      <c r="R248" s="2"/>
      <c r="S248" s="2">
        <v>116</v>
      </c>
      <c r="T248" s="2">
        <v>6</v>
      </c>
    </row>
    <row r="249" spans="1:20" ht="14.75" x14ac:dyDescent="0.75">
      <c r="A249" s="9">
        <v>45931</v>
      </c>
      <c r="B249" s="9" t="str">
        <f t="shared" si="7"/>
        <v>S40_2025</v>
      </c>
      <c r="C249" s="15">
        <f t="shared" si="8"/>
        <v>55</v>
      </c>
      <c r="D249" s="13"/>
      <c r="E249" s="2"/>
      <c r="F249" s="13"/>
      <c r="G249" s="2">
        <v>0</v>
      </c>
      <c r="H249" s="2">
        <v>0</v>
      </c>
      <c r="I249" s="2">
        <v>0</v>
      </c>
      <c r="J249" s="2">
        <v>0</v>
      </c>
      <c r="K249" s="2"/>
      <c r="L249" s="2"/>
      <c r="M249" s="2">
        <v>0</v>
      </c>
      <c r="N249" s="2">
        <v>0</v>
      </c>
      <c r="O249" s="2">
        <v>1</v>
      </c>
      <c r="P249" s="2">
        <v>0</v>
      </c>
      <c r="Q249" s="2"/>
      <c r="R249" s="2"/>
      <c r="S249" s="2">
        <v>54</v>
      </c>
      <c r="T249" s="2">
        <v>3</v>
      </c>
    </row>
    <row r="250" spans="1:20" ht="14.75" x14ac:dyDescent="0.75">
      <c r="A250" s="9">
        <v>45932</v>
      </c>
      <c r="B250" s="9" t="str">
        <f t="shared" si="7"/>
        <v>S40_2025</v>
      </c>
      <c r="C250" s="15">
        <f t="shared" si="8"/>
        <v>68</v>
      </c>
      <c r="D250" s="13"/>
      <c r="E250" s="2"/>
      <c r="F250" s="13"/>
      <c r="G250" s="2">
        <v>0</v>
      </c>
      <c r="H250" s="2">
        <v>0</v>
      </c>
      <c r="I250" s="2">
        <v>0</v>
      </c>
      <c r="J250" s="2">
        <v>0</v>
      </c>
      <c r="K250" s="2"/>
      <c r="L250" s="2"/>
      <c r="M250" s="2"/>
      <c r="N250" s="2"/>
      <c r="O250" s="2">
        <v>1</v>
      </c>
      <c r="P250" s="2"/>
      <c r="Q250" s="2"/>
      <c r="R250" s="2"/>
      <c r="S250" s="2">
        <v>67</v>
      </c>
      <c r="T250" s="2">
        <v>12</v>
      </c>
    </row>
    <row r="251" spans="1:20" ht="14.75" x14ac:dyDescent="0.75">
      <c r="A251" s="9">
        <v>45933</v>
      </c>
      <c r="B251" s="9" t="str">
        <f t="shared" si="7"/>
        <v>S40_2025</v>
      </c>
      <c r="C251" s="15">
        <f t="shared" si="8"/>
        <v>141</v>
      </c>
      <c r="D251" s="13"/>
      <c r="E251" s="2"/>
      <c r="F251" s="13"/>
      <c r="G251" s="2">
        <v>0</v>
      </c>
      <c r="H251" s="2"/>
      <c r="I251" s="2"/>
      <c r="J251" s="2"/>
      <c r="K251" s="2"/>
      <c r="L251" s="2"/>
      <c r="M251" s="2">
        <v>1</v>
      </c>
      <c r="N251" s="2"/>
      <c r="O251" s="2"/>
      <c r="P251" s="2"/>
      <c r="Q251" s="2"/>
      <c r="R251" s="2"/>
      <c r="S251" s="2">
        <v>140</v>
      </c>
      <c r="T251" s="2">
        <v>10</v>
      </c>
    </row>
    <row r="252" spans="1:20" ht="14.75" x14ac:dyDescent="0.75">
      <c r="A252" s="9">
        <v>45934</v>
      </c>
      <c r="B252" s="9" t="str">
        <f t="shared" si="7"/>
        <v>S40_2025</v>
      </c>
      <c r="C252" s="15">
        <f t="shared" si="8"/>
        <v>49</v>
      </c>
      <c r="D252" s="13"/>
      <c r="E252" s="2"/>
      <c r="F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>
        <v>49</v>
      </c>
      <c r="T252" s="2">
        <v>30</v>
      </c>
    </row>
    <row r="253" spans="1:20" ht="14.75" x14ac:dyDescent="0.75">
      <c r="A253" s="9">
        <v>45935</v>
      </c>
      <c r="B253" s="9" t="str">
        <f t="shared" si="7"/>
        <v>S40_2025</v>
      </c>
      <c r="C253" s="15">
        <f t="shared" si="8"/>
        <v>104</v>
      </c>
      <c r="D253" s="13"/>
      <c r="E253" s="2"/>
      <c r="F253" s="13"/>
      <c r="G253" s="2"/>
      <c r="H253" s="2"/>
      <c r="I253" s="2">
        <v>2</v>
      </c>
      <c r="J253" s="2"/>
      <c r="K253" s="2"/>
      <c r="L253" s="2"/>
      <c r="M253" s="2"/>
      <c r="N253" s="2">
        <v>2</v>
      </c>
      <c r="O253" s="2">
        <v>5</v>
      </c>
      <c r="P253" s="2"/>
      <c r="Q253" s="2"/>
      <c r="R253" s="2"/>
      <c r="S253" s="2">
        <v>97</v>
      </c>
      <c r="T253" s="2">
        <v>24</v>
      </c>
    </row>
    <row r="254" spans="1:20" ht="14.75" x14ac:dyDescent="0.75">
      <c r="A254" s="6">
        <v>45936</v>
      </c>
      <c r="B254" s="6" t="str">
        <f t="shared" si="7"/>
        <v>S41_2025</v>
      </c>
      <c r="C254" s="15">
        <f t="shared" si="8"/>
        <v>80</v>
      </c>
      <c r="N254">
        <v>2</v>
      </c>
      <c r="S254">
        <v>80</v>
      </c>
      <c r="T254">
        <v>32</v>
      </c>
    </row>
    <row r="255" spans="1:20" ht="14.75" x14ac:dyDescent="0.75">
      <c r="A255" s="6">
        <v>45937</v>
      </c>
      <c r="B255" s="6" t="str">
        <f t="shared" si="7"/>
        <v>S41_2025</v>
      </c>
      <c r="C255" s="15">
        <f t="shared" si="8"/>
        <v>128</v>
      </c>
      <c r="S255">
        <v>128</v>
      </c>
      <c r="T255">
        <v>13</v>
      </c>
    </row>
    <row r="256" spans="1:20" ht="14.75" x14ac:dyDescent="0.75">
      <c r="A256" s="6">
        <v>45938</v>
      </c>
      <c r="B256" s="6" t="str">
        <f t="shared" si="7"/>
        <v>S41_2025</v>
      </c>
      <c r="C256" s="15">
        <f t="shared" si="8"/>
        <v>62</v>
      </c>
      <c r="J256">
        <v>3</v>
      </c>
      <c r="O256">
        <v>2</v>
      </c>
      <c r="S256">
        <v>60</v>
      </c>
      <c r="T256">
        <v>15</v>
      </c>
    </row>
    <row r="257" spans="1:20" ht="14.75" x14ac:dyDescent="0.75">
      <c r="A257" s="6">
        <v>45939</v>
      </c>
      <c r="B257" s="6" t="str">
        <f t="shared" si="7"/>
        <v>S41_2025</v>
      </c>
      <c r="C257" s="15">
        <f t="shared" si="8"/>
        <v>78</v>
      </c>
      <c r="E257">
        <v>3</v>
      </c>
      <c r="L257">
        <v>2</v>
      </c>
      <c r="S257">
        <v>75</v>
      </c>
      <c r="T257">
        <v>4</v>
      </c>
    </row>
    <row r="258" spans="1:20" ht="14.75" x14ac:dyDescent="0.75">
      <c r="A258" s="6">
        <v>45940</v>
      </c>
      <c r="B258" s="6" t="str">
        <f t="shared" ref="B258:B309" si="9">CONCATENATE("S",_xlfn.ISOWEEKNUM(A258),"_",IF(AND(MONTH(A258)=12,_xlfn.ISOWEEKNUM(A258)=1),YEAR(A258)+1,IF(AND(MONTH(A258)=1,_xlfn.ISOWEEKNUM(A258)&gt;50),YEAR(A258)-1,YEAR(A258))))</f>
        <v>S41_2025</v>
      </c>
      <c r="C258" s="15">
        <f t="shared" si="8"/>
        <v>95</v>
      </c>
      <c r="S258">
        <v>95</v>
      </c>
      <c r="T258">
        <v>6</v>
      </c>
    </row>
    <row r="259" spans="1:20" ht="14.75" x14ac:dyDescent="0.75">
      <c r="A259" s="6">
        <v>45941</v>
      </c>
      <c r="B259" s="6" t="str">
        <f t="shared" si="9"/>
        <v>S41_2025</v>
      </c>
      <c r="C259" s="15">
        <f t="shared" si="8"/>
        <v>108</v>
      </c>
      <c r="D259" s="12">
        <v>1</v>
      </c>
      <c r="E259">
        <v>1</v>
      </c>
      <c r="J259">
        <v>1</v>
      </c>
      <c r="S259">
        <v>107</v>
      </c>
      <c r="T259">
        <v>7</v>
      </c>
    </row>
    <row r="260" spans="1:20" ht="14.75" x14ac:dyDescent="0.75">
      <c r="A260" s="6">
        <v>45942</v>
      </c>
      <c r="B260" s="6" t="str">
        <f t="shared" si="9"/>
        <v>S41_2025</v>
      </c>
      <c r="C260" s="15">
        <f t="shared" si="8"/>
        <v>114</v>
      </c>
      <c r="J260">
        <v>1</v>
      </c>
      <c r="K260">
        <v>2</v>
      </c>
      <c r="L260">
        <v>2</v>
      </c>
      <c r="M260">
        <v>2</v>
      </c>
      <c r="N260">
        <v>2</v>
      </c>
      <c r="O260">
        <v>0</v>
      </c>
      <c r="P260">
        <v>2</v>
      </c>
      <c r="Q260">
        <v>0</v>
      </c>
      <c r="R260">
        <v>0</v>
      </c>
      <c r="S260">
        <v>110</v>
      </c>
      <c r="T260">
        <v>13</v>
      </c>
    </row>
    <row r="261" spans="1:20" ht="14.75" x14ac:dyDescent="0.75">
      <c r="A261" s="9">
        <v>45943</v>
      </c>
      <c r="B261" s="9" t="str">
        <f t="shared" si="9"/>
        <v>S42_2025</v>
      </c>
      <c r="C261" s="15">
        <f t="shared" si="8"/>
        <v>160</v>
      </c>
      <c r="D261" s="13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>
        <v>160</v>
      </c>
      <c r="T261" s="4">
        <v>9</v>
      </c>
    </row>
    <row r="262" spans="1:20" ht="14.75" x14ac:dyDescent="0.75">
      <c r="A262" s="9">
        <v>45944</v>
      </c>
      <c r="B262" s="9" t="str">
        <f t="shared" si="9"/>
        <v>S42_2025</v>
      </c>
      <c r="C262" s="15">
        <f t="shared" si="8"/>
        <v>120</v>
      </c>
      <c r="D262" s="13"/>
      <c r="E262" s="4"/>
      <c r="F262" s="13"/>
      <c r="G262" s="4"/>
      <c r="H262" s="4"/>
      <c r="I262" s="4"/>
      <c r="J262" s="4"/>
      <c r="K262" s="4"/>
      <c r="L262" s="4"/>
      <c r="M262" s="4">
        <v>0</v>
      </c>
      <c r="N262" s="4">
        <v>3</v>
      </c>
      <c r="O262" s="4">
        <v>0</v>
      </c>
      <c r="P262" s="4"/>
      <c r="Q262" s="4"/>
      <c r="R262" s="4"/>
      <c r="S262" s="4">
        <v>120</v>
      </c>
      <c r="T262" s="4">
        <v>4</v>
      </c>
    </row>
    <row r="263" spans="1:20" ht="14.75" x14ac:dyDescent="0.75">
      <c r="A263" s="9">
        <v>45945</v>
      </c>
      <c r="B263" s="9" t="str">
        <f t="shared" si="9"/>
        <v>S42_2025</v>
      </c>
      <c r="C263" s="15">
        <f t="shared" si="8"/>
        <v>105</v>
      </c>
      <c r="D263" s="13"/>
      <c r="E263" s="4"/>
      <c r="F263" s="13"/>
      <c r="G263" s="4"/>
      <c r="H263" s="4"/>
      <c r="I263" s="4">
        <v>1</v>
      </c>
      <c r="J263" s="4"/>
      <c r="K263" s="4"/>
      <c r="L263" s="4"/>
      <c r="M263" s="4">
        <v>1</v>
      </c>
      <c r="N263" s="4">
        <v>0</v>
      </c>
      <c r="O263" s="4">
        <v>3</v>
      </c>
      <c r="P263" s="4"/>
      <c r="Q263" s="4"/>
      <c r="R263" s="4"/>
      <c r="S263" s="4">
        <v>100</v>
      </c>
      <c r="T263" s="4">
        <v>4</v>
      </c>
    </row>
    <row r="264" spans="1:20" ht="14.75" x14ac:dyDescent="0.75">
      <c r="A264" s="9">
        <v>45946</v>
      </c>
      <c r="B264" s="9" t="str">
        <f t="shared" si="9"/>
        <v>S42_2025</v>
      </c>
      <c r="C264" s="15">
        <f t="shared" si="8"/>
        <v>112</v>
      </c>
      <c r="D264" s="13">
        <v>2</v>
      </c>
      <c r="E264" s="4"/>
      <c r="F264" s="13"/>
      <c r="G264" s="4"/>
      <c r="H264" s="4"/>
      <c r="I264" s="4"/>
      <c r="J264" s="4"/>
      <c r="K264" s="4"/>
      <c r="L264" s="4"/>
      <c r="M264" s="4"/>
      <c r="N264" s="4">
        <v>16</v>
      </c>
      <c r="O264" s="4"/>
      <c r="P264" s="4"/>
      <c r="Q264" s="4"/>
      <c r="R264" s="4"/>
      <c r="S264" s="4">
        <v>112</v>
      </c>
      <c r="T264" s="4">
        <v>4</v>
      </c>
    </row>
    <row r="265" spans="1:20" ht="14.75" x14ac:dyDescent="0.75">
      <c r="A265" s="9">
        <v>45947</v>
      </c>
      <c r="B265" s="9" t="str">
        <f t="shared" si="9"/>
        <v>S42_2025</v>
      </c>
      <c r="C265" s="15">
        <f t="shared" si="8"/>
        <v>100</v>
      </c>
      <c r="D265" s="13"/>
      <c r="E265" s="4">
        <v>2</v>
      </c>
      <c r="F265" s="13"/>
      <c r="G265" s="4"/>
      <c r="H265" s="4">
        <v>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>
        <v>98</v>
      </c>
      <c r="T265" s="4">
        <v>15</v>
      </c>
    </row>
    <row r="266" spans="1:20" ht="14.75" x14ac:dyDescent="0.75">
      <c r="A266" s="9">
        <v>45948</v>
      </c>
      <c r="B266" s="9" t="str">
        <f t="shared" si="9"/>
        <v>S42_2025</v>
      </c>
      <c r="C266" s="15">
        <f t="shared" si="8"/>
        <v>123</v>
      </c>
      <c r="D266" s="13"/>
      <c r="E266" s="4"/>
      <c r="F266" s="13">
        <v>2</v>
      </c>
      <c r="G266" s="4"/>
      <c r="H266" s="4">
        <v>2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>
        <v>123</v>
      </c>
      <c r="T266" s="4">
        <v>6</v>
      </c>
    </row>
    <row r="267" spans="1:20" ht="14.75" x14ac:dyDescent="0.75">
      <c r="A267" s="9">
        <v>45949</v>
      </c>
      <c r="B267" s="9" t="str">
        <f t="shared" si="9"/>
        <v>S42_2025</v>
      </c>
      <c r="C267" s="15">
        <f t="shared" si="8"/>
        <v>115</v>
      </c>
      <c r="D267" s="13"/>
      <c r="E267" s="4"/>
      <c r="F267" s="13"/>
      <c r="G267" s="4"/>
      <c r="H267" s="4"/>
      <c r="I267" s="4"/>
      <c r="J267" s="4">
        <v>1</v>
      </c>
      <c r="K267" s="4"/>
      <c r="L267" s="4"/>
      <c r="M267" s="4">
        <v>1</v>
      </c>
      <c r="N267" s="4"/>
      <c r="O267" s="4">
        <v>3</v>
      </c>
      <c r="P267" s="4"/>
      <c r="Q267" s="4"/>
      <c r="R267" s="4"/>
      <c r="S267" s="4">
        <v>111</v>
      </c>
      <c r="T267" s="4">
        <v>23</v>
      </c>
    </row>
    <row r="268" spans="1:20" ht="14.75" x14ac:dyDescent="0.75">
      <c r="A268" s="6">
        <v>45950</v>
      </c>
      <c r="B268" s="6" t="str">
        <f t="shared" si="9"/>
        <v>S43_2025</v>
      </c>
      <c r="C268" s="15">
        <f t="shared" si="8"/>
        <v>100</v>
      </c>
      <c r="D268" s="12">
        <v>1</v>
      </c>
      <c r="S268">
        <v>100</v>
      </c>
      <c r="T268">
        <v>13</v>
      </c>
    </row>
    <row r="269" spans="1:20" ht="14.75" x14ac:dyDescent="0.75">
      <c r="A269" s="6">
        <v>45951</v>
      </c>
      <c r="B269" s="6" t="str">
        <f t="shared" si="9"/>
        <v>S43_2025</v>
      </c>
      <c r="C269" s="15">
        <f t="shared" si="8"/>
        <v>164</v>
      </c>
      <c r="F269" s="12">
        <v>4</v>
      </c>
      <c r="H269">
        <v>1</v>
      </c>
      <c r="K269">
        <v>2</v>
      </c>
      <c r="N269">
        <v>2</v>
      </c>
      <c r="S269">
        <v>162</v>
      </c>
      <c r="T269">
        <v>11</v>
      </c>
    </row>
    <row r="270" spans="1:20" ht="14.75" x14ac:dyDescent="0.75">
      <c r="A270" s="6">
        <v>45952</v>
      </c>
      <c r="B270" s="6" t="str">
        <f t="shared" si="9"/>
        <v>S43_2025</v>
      </c>
      <c r="C270" s="15">
        <f t="shared" si="8"/>
        <v>119</v>
      </c>
      <c r="J270">
        <v>2</v>
      </c>
      <c r="L270">
        <v>3</v>
      </c>
      <c r="M270">
        <v>1</v>
      </c>
      <c r="O270">
        <v>1</v>
      </c>
      <c r="S270">
        <v>117</v>
      </c>
      <c r="T270">
        <v>9</v>
      </c>
    </row>
    <row r="271" spans="1:20" ht="14.75" x14ac:dyDescent="0.75">
      <c r="A271" s="6">
        <v>45953</v>
      </c>
      <c r="B271" s="6" t="str">
        <f t="shared" si="9"/>
        <v>S43_2025</v>
      </c>
      <c r="C271" s="15">
        <f t="shared" si="8"/>
        <v>142</v>
      </c>
      <c r="S271">
        <v>142</v>
      </c>
      <c r="T271">
        <v>12</v>
      </c>
    </row>
    <row r="272" spans="1:20" ht="14.75" x14ac:dyDescent="0.75">
      <c r="A272" s="6">
        <v>45954</v>
      </c>
      <c r="B272" s="6" t="str">
        <f t="shared" si="9"/>
        <v>S43_2025</v>
      </c>
      <c r="C272" s="15">
        <f t="shared" si="8"/>
        <v>111</v>
      </c>
      <c r="S272">
        <v>111</v>
      </c>
      <c r="T272">
        <v>9</v>
      </c>
    </row>
    <row r="273" spans="1:20" ht="14.75" x14ac:dyDescent="0.75">
      <c r="A273" s="6">
        <v>45955</v>
      </c>
      <c r="B273" s="6" t="str">
        <f t="shared" si="9"/>
        <v>S43_2025</v>
      </c>
      <c r="C273" s="15">
        <f t="shared" si="8"/>
        <v>99</v>
      </c>
      <c r="S273">
        <v>99</v>
      </c>
      <c r="T273">
        <v>12</v>
      </c>
    </row>
    <row r="274" spans="1:20" ht="14.75" x14ac:dyDescent="0.75">
      <c r="A274" s="6">
        <v>45956</v>
      </c>
      <c r="B274" s="6" t="str">
        <f t="shared" si="9"/>
        <v>S43_2025</v>
      </c>
      <c r="C274" s="15">
        <f t="shared" si="8"/>
        <v>46</v>
      </c>
      <c r="S274">
        <v>46</v>
      </c>
      <c r="T274">
        <v>11</v>
      </c>
    </row>
    <row r="275" spans="1:20" ht="14.75" x14ac:dyDescent="0.75">
      <c r="A275" s="6">
        <v>45957</v>
      </c>
      <c r="B275" s="6" t="str">
        <f t="shared" si="9"/>
        <v>S44_2025</v>
      </c>
      <c r="C275" s="15">
        <f t="shared" ref="C275:C309" si="10">E275+G275+I275+K275+M275+O275+Q275+S275+U275+W275+Y275+AA275+AC275+AE275+AG275+AI275+AK275</f>
        <v>101</v>
      </c>
      <c r="S275">
        <v>101</v>
      </c>
      <c r="T275">
        <v>10</v>
      </c>
    </row>
    <row r="276" spans="1:20" ht="14.75" x14ac:dyDescent="0.75">
      <c r="A276" s="6">
        <v>45958</v>
      </c>
      <c r="B276" s="6" t="str">
        <f t="shared" si="9"/>
        <v>S44_2025</v>
      </c>
      <c r="C276" s="15">
        <f t="shared" si="10"/>
        <v>112</v>
      </c>
      <c r="D276" s="12">
        <v>2</v>
      </c>
      <c r="S276">
        <v>112</v>
      </c>
      <c r="T276">
        <v>9</v>
      </c>
    </row>
    <row r="277" spans="1:20" ht="14.75" x14ac:dyDescent="0.75">
      <c r="A277" s="6">
        <v>45959</v>
      </c>
      <c r="B277" s="6" t="str">
        <f t="shared" si="9"/>
        <v>S44_2025</v>
      </c>
      <c r="C277" s="15">
        <f t="shared" si="10"/>
        <v>110</v>
      </c>
      <c r="F277" s="12">
        <v>2</v>
      </c>
      <c r="M277">
        <v>1</v>
      </c>
      <c r="S277">
        <v>109</v>
      </c>
      <c r="T277">
        <v>7</v>
      </c>
    </row>
    <row r="278" spans="1:20" ht="14.75" x14ac:dyDescent="0.75">
      <c r="A278" s="6">
        <v>45960</v>
      </c>
      <c r="B278" s="6" t="str">
        <f t="shared" si="9"/>
        <v>S44_2025</v>
      </c>
      <c r="C278" s="15">
        <f t="shared" si="10"/>
        <v>102</v>
      </c>
      <c r="H278">
        <v>1</v>
      </c>
      <c r="L278">
        <v>1</v>
      </c>
      <c r="N278">
        <v>1</v>
      </c>
      <c r="O278">
        <v>4</v>
      </c>
      <c r="S278">
        <v>98</v>
      </c>
      <c r="T278">
        <v>6</v>
      </c>
    </row>
    <row r="279" spans="1:20" ht="14.75" x14ac:dyDescent="0.75">
      <c r="A279" s="6">
        <v>45961</v>
      </c>
      <c r="B279" s="6" t="str">
        <f t="shared" si="9"/>
        <v>S44_2025</v>
      </c>
      <c r="C279" s="15">
        <f t="shared" si="10"/>
        <v>154</v>
      </c>
      <c r="D279" s="12">
        <v>3</v>
      </c>
      <c r="J279">
        <v>2</v>
      </c>
      <c r="S279">
        <v>154</v>
      </c>
      <c r="T279">
        <v>16</v>
      </c>
    </row>
    <row r="280" spans="1:20" ht="14.75" x14ac:dyDescent="0.75">
      <c r="A280" s="6">
        <v>45962</v>
      </c>
      <c r="B280" s="6" t="str">
        <f t="shared" si="9"/>
        <v>S44_2025</v>
      </c>
      <c r="C280" s="15">
        <f t="shared" si="10"/>
        <v>133</v>
      </c>
      <c r="M280">
        <v>1</v>
      </c>
      <c r="S280">
        <v>132</v>
      </c>
      <c r="T280">
        <v>25</v>
      </c>
    </row>
    <row r="281" spans="1:20" ht="14.75" x14ac:dyDescent="0.75">
      <c r="A281" s="6">
        <v>45963</v>
      </c>
      <c r="B281" s="6" t="str">
        <f t="shared" si="9"/>
        <v>S44_2025</v>
      </c>
      <c r="C281" s="15">
        <f t="shared" si="10"/>
        <v>111</v>
      </c>
      <c r="F281" s="12">
        <v>4</v>
      </c>
      <c r="H281">
        <v>2</v>
      </c>
      <c r="J281">
        <v>2</v>
      </c>
      <c r="S281">
        <v>111</v>
      </c>
      <c r="T281">
        <v>27</v>
      </c>
    </row>
    <row r="282" spans="1:20" ht="14.75" x14ac:dyDescent="0.75">
      <c r="A282" s="6">
        <v>45964</v>
      </c>
      <c r="B282" s="6" t="str">
        <f t="shared" si="9"/>
        <v>S45_2025</v>
      </c>
      <c r="C282" s="15">
        <f t="shared" si="10"/>
        <v>94</v>
      </c>
      <c r="D282" s="12">
        <v>1</v>
      </c>
      <c r="S282">
        <v>94</v>
      </c>
      <c r="T282">
        <v>12</v>
      </c>
    </row>
    <row r="283" spans="1:20" ht="14.75" x14ac:dyDescent="0.75">
      <c r="A283" s="6">
        <v>45965</v>
      </c>
      <c r="B283" s="6" t="str">
        <f t="shared" si="9"/>
        <v>S45_2025</v>
      </c>
      <c r="C283" s="15">
        <f t="shared" si="10"/>
        <v>132</v>
      </c>
      <c r="F283" s="12">
        <v>2</v>
      </c>
      <c r="S283">
        <v>132</v>
      </c>
      <c r="T283">
        <v>15</v>
      </c>
    </row>
    <row r="284" spans="1:20" ht="14.75" x14ac:dyDescent="0.75">
      <c r="A284" s="6">
        <v>45966</v>
      </c>
      <c r="B284" s="6" t="str">
        <f t="shared" si="9"/>
        <v>S45_2025</v>
      </c>
      <c r="C284" s="15">
        <f t="shared" si="10"/>
        <v>109</v>
      </c>
      <c r="D284" s="12">
        <v>4</v>
      </c>
      <c r="S284">
        <v>109</v>
      </c>
      <c r="T284">
        <v>11</v>
      </c>
    </row>
    <row r="285" spans="1:20" s="7" customFormat="1" ht="15" customHeight="1" x14ac:dyDescent="0.75">
      <c r="A285" s="6">
        <v>45967</v>
      </c>
      <c r="B285" s="6" t="str">
        <f t="shared" si="9"/>
        <v>S45_2025</v>
      </c>
      <c r="C285" s="15">
        <f t="shared" si="10"/>
        <v>203</v>
      </c>
      <c r="D285" s="17"/>
      <c r="F285" s="17">
        <v>3</v>
      </c>
      <c r="G285" s="5"/>
      <c r="H285" s="5"/>
      <c r="J285" s="5"/>
      <c r="K285" s="5"/>
      <c r="M285" s="5">
        <v>1</v>
      </c>
      <c r="N285" s="5"/>
      <c r="O285" s="5"/>
      <c r="S285" s="5">
        <v>202</v>
      </c>
      <c r="T285" s="5">
        <v>15</v>
      </c>
    </row>
    <row r="286" spans="1:20" s="7" customFormat="1" ht="15" customHeight="1" x14ac:dyDescent="0.75">
      <c r="A286" s="6">
        <v>45968</v>
      </c>
      <c r="B286" s="6" t="str">
        <f t="shared" si="9"/>
        <v>S45_2025</v>
      </c>
      <c r="C286" s="15">
        <f t="shared" si="10"/>
        <v>189</v>
      </c>
      <c r="D286" s="17"/>
      <c r="F286" s="17"/>
      <c r="G286" s="5"/>
      <c r="H286" s="5"/>
      <c r="J286" s="5">
        <v>2</v>
      </c>
      <c r="K286" s="5"/>
      <c r="M286" s="5"/>
      <c r="N286" s="5">
        <v>3</v>
      </c>
      <c r="O286" s="5"/>
      <c r="S286" s="5">
        <v>189</v>
      </c>
      <c r="T286" s="5">
        <v>11</v>
      </c>
    </row>
    <row r="287" spans="1:20" s="7" customFormat="1" ht="15" customHeight="1" x14ac:dyDescent="0.75">
      <c r="A287" s="6">
        <v>45969</v>
      </c>
      <c r="B287" s="6" t="str">
        <f t="shared" si="9"/>
        <v>S45_2025</v>
      </c>
      <c r="C287" s="15">
        <f t="shared" si="10"/>
        <v>168</v>
      </c>
      <c r="D287" s="17">
        <v>1</v>
      </c>
      <c r="F287" s="17">
        <v>1</v>
      </c>
      <c r="G287" s="5">
        <v>1</v>
      </c>
      <c r="H287" s="5">
        <v>2</v>
      </c>
      <c r="J287" s="5"/>
      <c r="K287" s="5"/>
      <c r="L287" s="7">
        <v>1</v>
      </c>
      <c r="M287" s="5"/>
      <c r="N287" s="5"/>
      <c r="O287" s="5"/>
      <c r="S287" s="5">
        <v>167</v>
      </c>
      <c r="T287" s="5">
        <v>9</v>
      </c>
    </row>
    <row r="288" spans="1:20" s="7" customFormat="1" ht="15" customHeight="1" x14ac:dyDescent="0.75">
      <c r="A288" s="6">
        <v>45970</v>
      </c>
      <c r="B288" s="6" t="str">
        <f t="shared" si="9"/>
        <v>S45_2025</v>
      </c>
      <c r="C288" s="15">
        <f t="shared" si="10"/>
        <v>106</v>
      </c>
      <c r="D288" s="17"/>
      <c r="F288" s="17"/>
      <c r="G288" s="5"/>
      <c r="H288" s="5"/>
      <c r="J288" s="5"/>
      <c r="K288" s="5"/>
      <c r="M288" s="5">
        <v>4</v>
      </c>
      <c r="N288" s="5"/>
      <c r="O288" s="5">
        <v>2</v>
      </c>
      <c r="S288" s="5">
        <v>100</v>
      </c>
      <c r="T288" s="5">
        <v>19</v>
      </c>
    </row>
    <row r="289" spans="1:20" s="7" customFormat="1" ht="15" customHeight="1" x14ac:dyDescent="0.75">
      <c r="A289" s="6">
        <v>45971</v>
      </c>
      <c r="B289" s="6" t="str">
        <f t="shared" si="9"/>
        <v>S46_2025</v>
      </c>
      <c r="C289" s="15">
        <f t="shared" si="10"/>
        <v>193</v>
      </c>
      <c r="D289" s="12">
        <v>6</v>
      </c>
      <c r="F289" s="17">
        <v>5</v>
      </c>
      <c r="G289" s="5">
        <v>2</v>
      </c>
      <c r="H289" s="5"/>
      <c r="J289" s="5">
        <v>1</v>
      </c>
      <c r="K289" s="5">
        <v>1</v>
      </c>
      <c r="M289" s="5"/>
      <c r="N289" s="5"/>
      <c r="O289" s="5"/>
      <c r="S289" s="5">
        <v>190</v>
      </c>
      <c r="T289" s="5">
        <v>23</v>
      </c>
    </row>
    <row r="290" spans="1:20" s="7" customFormat="1" ht="15" customHeight="1" x14ac:dyDescent="0.75">
      <c r="A290" s="6">
        <v>45972</v>
      </c>
      <c r="B290" s="6" t="str">
        <f t="shared" si="9"/>
        <v>S46_2025</v>
      </c>
      <c r="C290" s="15">
        <f t="shared" si="10"/>
        <v>116</v>
      </c>
      <c r="D290" s="12"/>
      <c r="F290" s="17">
        <v>1</v>
      </c>
      <c r="G290" s="5"/>
      <c r="H290" s="5">
        <v>2</v>
      </c>
      <c r="J290" s="5"/>
      <c r="K290" s="5">
        <v>1</v>
      </c>
      <c r="M290" s="5"/>
      <c r="N290" s="5"/>
      <c r="O290" s="5"/>
      <c r="S290" s="5">
        <v>115</v>
      </c>
      <c r="T290" s="5">
        <v>12</v>
      </c>
    </row>
    <row r="291" spans="1:20" s="7" customFormat="1" ht="15" customHeight="1" x14ac:dyDescent="0.75">
      <c r="A291" s="6">
        <v>45973</v>
      </c>
      <c r="B291" s="6" t="str">
        <f t="shared" si="9"/>
        <v>S46_2025</v>
      </c>
      <c r="C291" s="15">
        <f t="shared" si="10"/>
        <v>198</v>
      </c>
      <c r="D291" s="12">
        <v>2</v>
      </c>
      <c r="F291" s="17"/>
      <c r="G291" s="5"/>
      <c r="H291" s="5"/>
      <c r="J291" s="5">
        <v>1</v>
      </c>
      <c r="K291" s="5"/>
      <c r="M291" s="5">
        <v>2</v>
      </c>
      <c r="N291" s="5"/>
      <c r="O291" s="5">
        <v>1</v>
      </c>
      <c r="S291" s="5">
        <v>195</v>
      </c>
      <c r="T291" s="5">
        <v>17</v>
      </c>
    </row>
    <row r="292" spans="1:20" s="7" customFormat="1" ht="15" customHeight="1" x14ac:dyDescent="0.75">
      <c r="A292" s="6">
        <v>45974</v>
      </c>
      <c r="B292" s="6" t="str">
        <f t="shared" si="9"/>
        <v>S46_2025</v>
      </c>
      <c r="C292" s="15">
        <f t="shared" si="10"/>
        <v>178</v>
      </c>
      <c r="D292" s="12"/>
      <c r="F292" s="17">
        <v>1</v>
      </c>
      <c r="G292" s="5">
        <v>1</v>
      </c>
      <c r="H292" s="5">
        <v>1</v>
      </c>
      <c r="I292" s="7">
        <v>1</v>
      </c>
      <c r="J292" s="5">
        <v>1</v>
      </c>
      <c r="K292" s="5"/>
      <c r="M292" s="5"/>
      <c r="N292" s="5">
        <v>2</v>
      </c>
      <c r="O292" s="5"/>
      <c r="S292" s="5">
        <v>176</v>
      </c>
      <c r="T292" s="5">
        <v>22</v>
      </c>
    </row>
    <row r="293" spans="1:20" s="7" customFormat="1" ht="15" customHeight="1" x14ac:dyDescent="0.75">
      <c r="A293" s="6">
        <v>45975</v>
      </c>
      <c r="B293" s="6" t="str">
        <f t="shared" si="9"/>
        <v>S46_2025</v>
      </c>
      <c r="C293" s="15">
        <f t="shared" si="10"/>
        <v>152</v>
      </c>
      <c r="D293" s="12">
        <v>2</v>
      </c>
      <c r="F293" s="17"/>
      <c r="G293" s="5"/>
      <c r="H293" s="5">
        <v>2</v>
      </c>
      <c r="J293" s="5"/>
      <c r="K293" s="5"/>
      <c r="L293" s="7">
        <v>1</v>
      </c>
      <c r="M293" s="5"/>
      <c r="N293" s="5"/>
      <c r="O293" s="5"/>
      <c r="S293" s="5">
        <v>152</v>
      </c>
      <c r="T293" s="5">
        <v>12</v>
      </c>
    </row>
    <row r="294" spans="1:20" s="7" customFormat="1" ht="15" customHeight="1" x14ac:dyDescent="0.75">
      <c r="A294" s="6">
        <v>45976</v>
      </c>
      <c r="B294" s="6" t="str">
        <f t="shared" si="9"/>
        <v>S46_2025</v>
      </c>
      <c r="C294" s="15">
        <f t="shared" si="10"/>
        <v>129</v>
      </c>
      <c r="D294" s="12">
        <v>1</v>
      </c>
      <c r="F294" s="17">
        <v>1</v>
      </c>
      <c r="G294" s="5"/>
      <c r="H294" s="5"/>
      <c r="J294" s="5"/>
      <c r="K294" s="5"/>
      <c r="M294" s="5">
        <v>2</v>
      </c>
      <c r="N294" s="5"/>
      <c r="O294" s="5">
        <v>5</v>
      </c>
      <c r="S294" s="5">
        <v>122</v>
      </c>
      <c r="T294" s="5">
        <v>10</v>
      </c>
    </row>
    <row r="295" spans="1:20" s="7" customFormat="1" ht="15" customHeight="1" x14ac:dyDescent="0.75">
      <c r="A295" s="6">
        <v>45977</v>
      </c>
      <c r="B295" s="6" t="str">
        <f t="shared" si="9"/>
        <v>S46_2025</v>
      </c>
      <c r="C295" s="15">
        <f t="shared" si="10"/>
        <v>116</v>
      </c>
      <c r="D295" s="12"/>
      <c r="F295" s="17"/>
      <c r="G295" s="5">
        <v>1</v>
      </c>
      <c r="H295" s="5">
        <v>4</v>
      </c>
      <c r="J295" s="5">
        <v>2</v>
      </c>
      <c r="K295" s="5">
        <v>2</v>
      </c>
      <c r="M295" s="5"/>
      <c r="N295" s="5"/>
      <c r="O295" s="5"/>
      <c r="S295" s="5">
        <v>113</v>
      </c>
      <c r="T295" s="5">
        <v>9</v>
      </c>
    </row>
    <row r="296" spans="1:20" s="7" customFormat="1" ht="15" customHeight="1" x14ac:dyDescent="0.75">
      <c r="A296" s="6">
        <v>45978</v>
      </c>
      <c r="B296" s="6" t="str">
        <f t="shared" si="9"/>
        <v>S47_2025</v>
      </c>
      <c r="C296" s="15">
        <f t="shared" si="10"/>
        <v>157</v>
      </c>
      <c r="D296" s="12"/>
      <c r="F296" s="17">
        <v>2</v>
      </c>
      <c r="G296" s="5"/>
      <c r="H296" s="5"/>
      <c r="J296" s="5"/>
      <c r="K296" s="5">
        <v>3</v>
      </c>
      <c r="M296" s="5"/>
      <c r="N296" s="5"/>
      <c r="O296" s="5"/>
      <c r="S296" s="5">
        <v>154</v>
      </c>
      <c r="T296" s="5">
        <v>7</v>
      </c>
    </row>
    <row r="297" spans="1:20" s="7" customFormat="1" ht="15" customHeight="1" x14ac:dyDescent="0.75">
      <c r="A297" s="6">
        <v>45979</v>
      </c>
      <c r="B297" s="6" t="str">
        <f t="shared" si="9"/>
        <v>S47_2025</v>
      </c>
      <c r="C297" s="15">
        <f t="shared" si="10"/>
        <v>202</v>
      </c>
      <c r="D297" s="12">
        <v>1</v>
      </c>
      <c r="F297" s="12"/>
      <c r="M297" s="5">
        <v>1</v>
      </c>
      <c r="N297" s="5">
        <v>4</v>
      </c>
      <c r="O297" s="5"/>
      <c r="S297" s="5">
        <v>201</v>
      </c>
      <c r="T297" s="5">
        <v>16</v>
      </c>
    </row>
    <row r="298" spans="1:20" ht="15" customHeight="1" x14ac:dyDescent="0.75">
      <c r="A298" s="6">
        <v>45980</v>
      </c>
      <c r="B298" s="6" t="str">
        <f t="shared" si="9"/>
        <v>S47_2025</v>
      </c>
      <c r="C298" s="15">
        <f t="shared" si="10"/>
        <v>206</v>
      </c>
      <c r="D298" s="12">
        <v>1</v>
      </c>
      <c r="F298" s="12">
        <v>2</v>
      </c>
      <c r="H298">
        <v>1</v>
      </c>
      <c r="I298">
        <v>1</v>
      </c>
      <c r="J298">
        <v>1</v>
      </c>
      <c r="K298">
        <v>1</v>
      </c>
      <c r="M298">
        <v>1</v>
      </c>
      <c r="O298">
        <v>4</v>
      </c>
      <c r="S298">
        <v>199</v>
      </c>
      <c r="T298">
        <v>10</v>
      </c>
    </row>
    <row r="299" spans="1:20" ht="15" customHeight="1" x14ac:dyDescent="0.75">
      <c r="A299" s="6">
        <v>45981</v>
      </c>
      <c r="B299" s="6" t="str">
        <f t="shared" si="9"/>
        <v>S47_2025</v>
      </c>
      <c r="C299" s="15">
        <f t="shared" si="10"/>
        <v>114</v>
      </c>
      <c r="D299" s="12">
        <v>2</v>
      </c>
      <c r="G299">
        <v>1</v>
      </c>
      <c r="J299">
        <v>1</v>
      </c>
      <c r="M299" s="5">
        <v>1</v>
      </c>
      <c r="S299" s="5">
        <v>112</v>
      </c>
      <c r="T299" s="5">
        <v>12</v>
      </c>
    </row>
    <row r="300" spans="1:20" ht="15" customHeight="1" x14ac:dyDescent="0.75">
      <c r="A300" s="6">
        <v>45982</v>
      </c>
      <c r="B300" s="6" t="str">
        <f t="shared" si="9"/>
        <v>S47_2025</v>
      </c>
      <c r="C300" s="15">
        <f t="shared" si="10"/>
        <v>210</v>
      </c>
      <c r="D300" s="12">
        <v>1</v>
      </c>
      <c r="F300" s="12">
        <v>1</v>
      </c>
      <c r="I300">
        <v>3</v>
      </c>
      <c r="L300">
        <v>1</v>
      </c>
      <c r="N300">
        <v>2</v>
      </c>
      <c r="S300" s="5">
        <v>207</v>
      </c>
      <c r="T300" s="5">
        <v>6</v>
      </c>
    </row>
    <row r="301" spans="1:20" ht="15" customHeight="1" x14ac:dyDescent="0.75">
      <c r="A301" s="6">
        <v>45983</v>
      </c>
      <c r="B301" s="6" t="str">
        <f t="shared" si="9"/>
        <v>S47_2025</v>
      </c>
      <c r="C301" s="15">
        <f t="shared" si="10"/>
        <v>103</v>
      </c>
      <c r="D301" s="12">
        <v>2</v>
      </c>
      <c r="G301">
        <v>3</v>
      </c>
      <c r="K301">
        <v>1</v>
      </c>
      <c r="N301">
        <v>1</v>
      </c>
      <c r="S301" s="5">
        <v>99</v>
      </c>
      <c r="T301" s="5">
        <v>10</v>
      </c>
    </row>
    <row r="302" spans="1:20" ht="15" customHeight="1" x14ac:dyDescent="0.75">
      <c r="A302" s="6">
        <v>45984</v>
      </c>
      <c r="B302" s="6" t="str">
        <f t="shared" si="9"/>
        <v>S47_2025</v>
      </c>
      <c r="C302" s="15">
        <f t="shared" si="10"/>
        <v>79</v>
      </c>
      <c r="D302" s="12">
        <v>3</v>
      </c>
      <c r="G302">
        <v>1</v>
      </c>
      <c r="J302">
        <v>3</v>
      </c>
      <c r="M302">
        <v>1</v>
      </c>
      <c r="O302">
        <v>2</v>
      </c>
      <c r="S302" s="5">
        <v>75</v>
      </c>
      <c r="T302" s="5">
        <v>15</v>
      </c>
    </row>
    <row r="303" spans="1:20" ht="15" customHeight="1" x14ac:dyDescent="0.75">
      <c r="A303" s="6">
        <v>45985</v>
      </c>
      <c r="B303" s="6" t="str">
        <f t="shared" si="9"/>
        <v>S48_2025</v>
      </c>
      <c r="C303" s="15">
        <f t="shared" si="10"/>
        <v>124</v>
      </c>
      <c r="D303" s="12">
        <v>2</v>
      </c>
      <c r="F303" s="12">
        <v>1</v>
      </c>
      <c r="H303">
        <v>1</v>
      </c>
      <c r="J303">
        <v>1</v>
      </c>
      <c r="M303">
        <v>1</v>
      </c>
      <c r="O303">
        <v>1</v>
      </c>
      <c r="S303" s="5">
        <v>122</v>
      </c>
      <c r="T303" s="5">
        <v>11</v>
      </c>
    </row>
    <row r="304" spans="1:20" ht="15" customHeight="1" x14ac:dyDescent="0.75">
      <c r="A304" s="6">
        <v>45986</v>
      </c>
      <c r="B304" s="6" t="str">
        <f t="shared" si="9"/>
        <v>S48_2025</v>
      </c>
      <c r="C304" s="15">
        <f t="shared" si="10"/>
        <v>104</v>
      </c>
      <c r="D304" s="12">
        <v>1</v>
      </c>
      <c r="F304" s="12">
        <v>2</v>
      </c>
      <c r="S304" s="5">
        <v>104</v>
      </c>
      <c r="T304" s="5">
        <v>10</v>
      </c>
    </row>
    <row r="305" spans="1:20" ht="15" customHeight="1" x14ac:dyDescent="0.75">
      <c r="A305" s="6">
        <v>45987</v>
      </c>
      <c r="B305" s="6" t="str">
        <f t="shared" si="9"/>
        <v>S48_2025</v>
      </c>
      <c r="C305" s="15">
        <f t="shared" si="10"/>
        <v>99</v>
      </c>
      <c r="D305" s="12">
        <v>2</v>
      </c>
      <c r="S305" s="5">
        <v>99</v>
      </c>
      <c r="T305" s="5">
        <v>15</v>
      </c>
    </row>
    <row r="306" spans="1:20" ht="15" customHeight="1" x14ac:dyDescent="0.75">
      <c r="A306" s="6">
        <v>45988</v>
      </c>
      <c r="B306" s="6" t="str">
        <f t="shared" si="9"/>
        <v>S48_2025</v>
      </c>
      <c r="C306" s="15">
        <f t="shared" si="10"/>
        <v>137</v>
      </c>
      <c r="D306" s="12">
        <v>4</v>
      </c>
      <c r="F306" s="12">
        <v>1</v>
      </c>
      <c r="H306">
        <v>2</v>
      </c>
      <c r="K306">
        <v>3</v>
      </c>
      <c r="N306">
        <v>2</v>
      </c>
      <c r="S306" s="5">
        <v>134</v>
      </c>
      <c r="T306" s="5">
        <v>12</v>
      </c>
    </row>
    <row r="307" spans="1:20" ht="15" customHeight="1" x14ac:dyDescent="0.75">
      <c r="A307" s="6">
        <v>45989</v>
      </c>
      <c r="B307" s="6" t="str">
        <f t="shared" si="9"/>
        <v>S48_2025</v>
      </c>
      <c r="C307" s="15">
        <f t="shared" si="10"/>
        <v>111</v>
      </c>
      <c r="D307" s="12">
        <v>1</v>
      </c>
      <c r="J307">
        <v>1</v>
      </c>
      <c r="N307">
        <v>2</v>
      </c>
      <c r="S307" s="5">
        <v>111</v>
      </c>
      <c r="T307" s="5">
        <v>10</v>
      </c>
    </row>
    <row r="308" spans="1:20" ht="15" customHeight="1" x14ac:dyDescent="0.75">
      <c r="A308" s="6">
        <v>45990</v>
      </c>
      <c r="B308" s="6" t="str">
        <f t="shared" si="9"/>
        <v>S48_2025</v>
      </c>
      <c r="C308" s="15">
        <f t="shared" si="10"/>
        <v>122</v>
      </c>
      <c r="D308" s="12">
        <v>1</v>
      </c>
      <c r="F308" s="12">
        <v>2</v>
      </c>
      <c r="H308">
        <v>1</v>
      </c>
      <c r="J308">
        <v>1</v>
      </c>
      <c r="L308">
        <v>2</v>
      </c>
      <c r="O308">
        <v>1</v>
      </c>
      <c r="S308" s="5">
        <v>121</v>
      </c>
      <c r="T308" s="5">
        <v>9</v>
      </c>
    </row>
    <row r="309" spans="1:20" ht="15" customHeight="1" x14ac:dyDescent="0.75">
      <c r="A309" s="6">
        <v>45991</v>
      </c>
      <c r="B309" s="6" t="str">
        <f t="shared" si="9"/>
        <v>S48_2025</v>
      </c>
      <c r="C309" s="15">
        <f t="shared" si="10"/>
        <v>132</v>
      </c>
      <c r="D309" s="12">
        <v>2</v>
      </c>
      <c r="H309">
        <v>2</v>
      </c>
      <c r="L309">
        <v>2</v>
      </c>
      <c r="S309" s="5">
        <v>132</v>
      </c>
      <c r="T309" s="5">
        <v>11</v>
      </c>
    </row>
    <row r="310" spans="1:20" ht="15" customHeight="1" x14ac:dyDescent="0.75">
      <c r="A310" s="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BASE_DONNEES_APPELS_Net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ALVINE DESSU MOLLA</cp:lastModifiedBy>
  <cp:revision>3</cp:revision>
  <dcterms:created xsi:type="dcterms:W3CDTF">2025-11-11T10:28:50Z</dcterms:created>
  <dcterms:modified xsi:type="dcterms:W3CDTF">2025-11-28T21:39:49Z</dcterms:modified>
  <dc:language>fr-FR</dc:language>
</cp:coreProperties>
</file>